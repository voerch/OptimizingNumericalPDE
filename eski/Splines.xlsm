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70" yWindow="165" windowWidth="10515" windowHeight="12015"/>
  </bookViews>
  <sheets>
    <sheet name="Tridiagonal Solver" sheetId="1" r:id="rId1"/>
    <sheet name="SplineInterpolation" sheetId="2" r:id="rId2"/>
  </sheets>
  <functionGroups builtInGroupCount="17"/>
  <definedNames>
    <definedName name="Max_x">SplineInterpolation!$N$13</definedName>
    <definedName name="Min_x">SplineInterpolation!$N$12</definedName>
    <definedName name="Steps">SplineInterpolation!$N$14</definedName>
    <definedName name="StepSize">SplineInterpolation!$N$15</definedName>
  </definedNames>
  <calcPr calcId="145621"/>
</workbook>
</file>

<file path=xl/calcChain.xml><?xml version="1.0" encoding="utf-8"?>
<calcChain xmlns="http://schemas.openxmlformats.org/spreadsheetml/2006/main">
  <c r="R47" i="1" l="1"/>
  <c r="R44" i="1" a="1"/>
  <c r="R45" i="1" s="1"/>
  <c r="P44" i="1"/>
  <c r="P43" i="1"/>
  <c r="P46" i="1" a="1"/>
  <c r="P47" i="1" s="1"/>
  <c r="P46" i="1"/>
  <c r="O44" i="1"/>
  <c r="O43" i="1"/>
  <c r="N44" i="1"/>
  <c r="N43" i="1"/>
  <c r="N46" i="1" a="1"/>
  <c r="O46" i="1" s="1"/>
  <c r="P42" i="1"/>
  <c r="P41" i="1"/>
  <c r="N42" i="1"/>
  <c r="N41" i="1"/>
  <c r="O42" i="1"/>
  <c r="O41" i="1"/>
  <c r="P40" i="1"/>
  <c r="O40" i="1"/>
  <c r="N40" i="1"/>
  <c r="M40" i="1"/>
  <c r="L40" i="1"/>
  <c r="K40" i="1"/>
  <c r="J40" i="1"/>
  <c r="P39" i="1"/>
  <c r="O39" i="1"/>
  <c r="N39" i="1"/>
  <c r="M39" i="1"/>
  <c r="L39" i="1"/>
  <c r="K39" i="1"/>
  <c r="J39" i="1"/>
  <c r="S32" i="1" a="1"/>
  <c r="S32" i="1" s="1"/>
  <c r="R35" i="1"/>
  <c r="R32" i="1" a="1"/>
  <c r="R33" i="1" s="1"/>
  <c r="P32" i="1"/>
  <c r="P31" i="1"/>
  <c r="P37" i="1" a="1"/>
  <c r="P37" i="1"/>
  <c r="P38" i="1"/>
  <c r="M31" i="1"/>
  <c r="M32" i="1"/>
  <c r="L32" i="1"/>
  <c r="L31" i="1"/>
  <c r="L37" i="1" a="1"/>
  <c r="M37" i="1" s="1"/>
  <c r="P29" i="1" a="1"/>
  <c r="P30" i="1" s="1"/>
  <c r="P29" i="1"/>
  <c r="L29" i="1" a="1"/>
  <c r="M29" i="1" s="1"/>
  <c r="E42" i="1"/>
  <c r="D41" i="1"/>
  <c r="C42" i="1"/>
  <c r="B42" i="1"/>
  <c r="B41" i="1"/>
  <c r="E41" i="1"/>
  <c r="E40" i="1"/>
  <c r="E39" i="1"/>
  <c r="E38" i="1"/>
  <c r="E37" i="1"/>
  <c r="D40" i="1"/>
  <c r="D39" i="1"/>
  <c r="D38" i="1"/>
  <c r="D37" i="1"/>
  <c r="C41" i="1"/>
  <c r="C40" i="1"/>
  <c r="C39" i="1"/>
  <c r="C38" i="1"/>
  <c r="C37" i="1"/>
  <c r="B40" i="1"/>
  <c r="B39" i="1"/>
  <c r="B38" i="1"/>
  <c r="M23" i="1"/>
  <c r="O22" i="1" s="1" a="1"/>
  <c r="O25" i="1" s="1"/>
  <c r="O14" i="1" a="1"/>
  <c r="O17" i="1" s="1"/>
  <c r="M25" i="1"/>
  <c r="M24" i="1"/>
  <c r="M22" i="1"/>
  <c r="L24" i="1" a="1"/>
  <c r="L24" i="1" s="1"/>
  <c r="L23" i="1"/>
  <c r="K23" i="1"/>
  <c r="J23" i="1"/>
  <c r="L22" i="1"/>
  <c r="K22" i="1"/>
  <c r="J22" i="1"/>
  <c r="L17" i="1"/>
  <c r="L16" i="1"/>
  <c r="J16" i="1"/>
  <c r="L19" i="1" a="1"/>
  <c r="L20" i="1" s="1"/>
  <c r="K17" i="1"/>
  <c r="J17" i="1"/>
  <c r="K16" i="1"/>
  <c r="J19" i="1" a="1"/>
  <c r="K20" i="1" s="1"/>
  <c r="L14" i="1" a="1"/>
  <c r="L15" i="1" s="1"/>
  <c r="J14" i="1" a="1"/>
  <c r="K14" i="1" s="1"/>
  <c r="J7" i="1" a="1"/>
  <c r="G37" i="1" a="1"/>
  <c r="H37" i="1" a="1"/>
  <c r="I37" i="1" a="1"/>
  <c r="G45" i="1" a="1"/>
  <c r="G45" i="1" l="1"/>
  <c r="G49" i="1"/>
  <c r="G46" i="1"/>
  <c r="G50" i="1"/>
  <c r="G47" i="1"/>
  <c r="G48" i="1"/>
  <c r="I39" i="1"/>
  <c r="I40" i="1"/>
  <c r="I37" i="1"/>
  <c r="I41" i="1"/>
  <c r="I38" i="1"/>
  <c r="I42" i="1"/>
  <c r="H38" i="1"/>
  <c r="H42" i="1"/>
  <c r="H39" i="1"/>
  <c r="H40" i="1"/>
  <c r="H37" i="1"/>
  <c r="H41" i="1"/>
  <c r="G38" i="1"/>
  <c r="G42" i="1"/>
  <c r="G39" i="1"/>
  <c r="G40" i="1"/>
  <c r="G37" i="1"/>
  <c r="G41" i="1"/>
  <c r="R44" i="1"/>
  <c r="O47" i="1"/>
  <c r="N46" i="1"/>
  <c r="N47" i="1"/>
  <c r="S33" i="1"/>
  <c r="R32" i="1"/>
  <c r="L37" i="1"/>
  <c r="M38" i="1"/>
  <c r="L38" i="1"/>
  <c r="L29" i="1"/>
  <c r="M30" i="1"/>
  <c r="L30" i="1"/>
  <c r="J10" i="1"/>
  <c r="J7" i="1"/>
  <c r="J8" i="1"/>
  <c r="J9" i="1"/>
  <c r="O16" i="1"/>
  <c r="O15" i="1"/>
  <c r="O14" i="1"/>
  <c r="O24" i="1"/>
  <c r="O23" i="1"/>
  <c r="O22" i="1"/>
  <c r="L25" i="1"/>
  <c r="L19" i="1"/>
  <c r="J20" i="1"/>
  <c r="K19" i="1"/>
  <c r="J19" i="1"/>
  <c r="L14" i="1"/>
  <c r="J14" i="1"/>
  <c r="K15" i="1"/>
  <c r="J15" i="1"/>
  <c r="H7" i="1" a="1"/>
  <c r="H10" i="1" l="1"/>
  <c r="H8" i="1"/>
  <c r="H9" i="1"/>
  <c r="H7" i="1"/>
  <c r="B15" i="2" l="1"/>
  <c r="D15" i="2" s="1"/>
  <c r="D14" i="2"/>
  <c r="B16" i="2" l="1"/>
  <c r="B17" i="2" l="1"/>
  <c r="D16" i="2"/>
  <c r="B18" i="2" l="1"/>
  <c r="D17" i="2"/>
  <c r="B19" i="2" l="1"/>
  <c r="D18" i="2"/>
  <c r="B20" i="2" l="1"/>
  <c r="D20" i="2" s="1"/>
  <c r="D19" i="2"/>
  <c r="B21" i="2" l="1"/>
  <c r="D21" i="2" s="1"/>
  <c r="B22" i="2" l="1"/>
  <c r="D22" i="2" s="1"/>
  <c r="B23" i="2" l="1"/>
  <c r="D23" i="2" s="1"/>
  <c r="B24" i="2" l="1"/>
  <c r="D24" i="2" s="1"/>
  <c r="B25" i="2" l="1"/>
  <c r="D25" i="2" s="1"/>
  <c r="B26" i="2" l="1"/>
  <c r="D26" i="2" s="1"/>
  <c r="B27" i="2" l="1"/>
  <c r="D27" i="2" s="1"/>
  <c r="B28" i="2" l="1"/>
  <c r="D28" i="2"/>
  <c r="B29" i="2" l="1"/>
  <c r="D29" i="2" s="1"/>
  <c r="B30" i="2" l="1"/>
  <c r="D30" i="2" s="1"/>
  <c r="B31" i="2" l="1"/>
  <c r="D31" i="2" s="1"/>
  <c r="B32" i="2" l="1"/>
  <c r="D32" i="2" s="1"/>
  <c r="B33" i="2" l="1"/>
  <c r="D33" i="2" l="1"/>
  <c r="K8" i="2" l="1"/>
  <c r="K7" i="2"/>
  <c r="F8" i="2"/>
  <c r="F7" i="2"/>
  <c r="F6" i="2"/>
  <c r="J7" i="2"/>
  <c r="J8" i="2"/>
  <c r="H8" i="2"/>
  <c r="H7" i="2"/>
  <c r="E8" i="2"/>
  <c r="E7" i="2"/>
  <c r="E6" i="2"/>
  <c r="C6" i="2"/>
  <c r="B9" i="2"/>
  <c r="C9" i="2" s="1"/>
  <c r="B7" i="2"/>
  <c r="B8" i="2" s="1"/>
  <c r="C8" i="2" s="1"/>
  <c r="F17" i="1"/>
  <c r="F16" i="1"/>
  <c r="F15" i="1"/>
  <c r="F14" i="1"/>
  <c r="E17" i="1"/>
  <c r="D17" i="1"/>
  <c r="E16" i="1"/>
  <c r="D16" i="1"/>
  <c r="C16" i="1"/>
  <c r="D15" i="1"/>
  <c r="C15" i="1"/>
  <c r="B15" i="1"/>
  <c r="C14" i="1"/>
  <c r="B14" i="1"/>
  <c r="M6" i="2" a="1"/>
  <c r="G7" i="1" a="1"/>
  <c r="M6" i="2" l="1"/>
  <c r="M7" i="2"/>
  <c r="M8" i="2"/>
  <c r="M9" i="2"/>
  <c r="C7" i="2"/>
  <c r="G7" i="1"/>
  <c r="G8" i="1"/>
  <c r="G9" i="1"/>
  <c r="G10" i="1"/>
  <c r="C24" i="2"/>
  <c r="C17" i="2"/>
  <c r="C19" i="2"/>
  <c r="C33" i="2"/>
  <c r="C26" i="2"/>
  <c r="C27" i="2"/>
  <c r="C16" i="2"/>
  <c r="C18" i="2"/>
  <c r="C20" i="2"/>
  <c r="C31" i="2"/>
  <c r="C15" i="2"/>
  <c r="C23" i="2"/>
  <c r="C28" i="2"/>
  <c r="C32" i="2"/>
  <c r="C14" i="2"/>
  <c r="C30" i="2"/>
  <c r="C25" i="2"/>
  <c r="C29" i="2"/>
  <c r="C22" i="2"/>
  <c r="C21" i="2"/>
  <c r="E14" i="2" l="1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I7" i="1" a="1"/>
  <c r="I8" i="1" l="1"/>
  <c r="I7" i="1"/>
  <c r="I10" i="1"/>
  <c r="I9" i="1"/>
</calcChain>
</file>

<file path=xl/sharedStrings.xml><?xml version="1.0" encoding="utf-8"?>
<sst xmlns="http://schemas.openxmlformats.org/spreadsheetml/2006/main" count="52" uniqueCount="43">
  <si>
    <t>Tridiagonal solver</t>
  </si>
  <si>
    <t>Diagonal</t>
  </si>
  <si>
    <t>Below</t>
  </si>
  <si>
    <t>Above</t>
  </si>
  <si>
    <t>Independent</t>
  </si>
  <si>
    <t>term</t>
  </si>
  <si>
    <t>diagonal</t>
  </si>
  <si>
    <t>*</t>
  </si>
  <si>
    <t>System Coefficients</t>
  </si>
  <si>
    <t>Linear system  in matrix form</t>
  </si>
  <si>
    <t>Solution</t>
  </si>
  <si>
    <t>Vector</t>
  </si>
  <si>
    <t>Check using</t>
  </si>
  <si>
    <t>MMULT</t>
  </si>
  <si>
    <t>Spline interpolation</t>
  </si>
  <si>
    <t>Function Values</t>
  </si>
  <si>
    <t>x</t>
  </si>
  <si>
    <t>y</t>
  </si>
  <si>
    <t>Subdiagonal</t>
  </si>
  <si>
    <t>Indep Terms</t>
  </si>
  <si>
    <t>h's</t>
  </si>
  <si>
    <t>Slopes</t>
  </si>
  <si>
    <t>Supradiagonal</t>
  </si>
  <si>
    <t>Moments System</t>
  </si>
  <si>
    <t>Interval Sizes and slopes</t>
  </si>
  <si>
    <t>Moments</t>
  </si>
  <si>
    <t>x values</t>
  </si>
  <si>
    <t>Resulting function</t>
  </si>
  <si>
    <t>Spline</t>
  </si>
  <si>
    <t>Original</t>
  </si>
  <si>
    <t>error</t>
  </si>
  <si>
    <t xml:space="preserve">below </t>
  </si>
  <si>
    <t>diag</t>
  </si>
  <si>
    <t>above</t>
  </si>
  <si>
    <t>indep</t>
  </si>
  <si>
    <t>thomas</t>
  </si>
  <si>
    <t>C++</t>
  </si>
  <si>
    <t>parallel</t>
  </si>
  <si>
    <t>newc</t>
  </si>
  <si>
    <t>det</t>
  </si>
  <si>
    <t>newd</t>
  </si>
  <si>
    <t>new d</t>
  </si>
  <si>
    <t>parallel C++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</si>
</sst>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5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horizontal="center"/>
    </xf>
    <xf numFmtId="0" fontId="0" fillId="3" borderId="9" xfId="0" applyFill="1" applyBorder="1"/>
    <xf numFmtId="0" fontId="0" fillId="3" borderId="2" xfId="0" applyFill="1" applyBorder="1" applyAlignment="1">
      <alignment horizontal="center"/>
    </xf>
    <xf numFmtId="0" fontId="3" fillId="2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0" xfId="0" applyFont="1" applyFill="1" applyBorder="1"/>
    <xf numFmtId="0" fontId="1" fillId="3" borderId="6" xfId="0" applyFont="1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4" fillId="3" borderId="5" xfId="0" applyFont="1" applyFill="1" applyBorder="1"/>
    <xf numFmtId="0" fontId="4" fillId="3" borderId="7" xfId="0" applyFont="1" applyFill="1" applyBorder="1"/>
    <xf numFmtId="0" fontId="4" fillId="3" borderId="8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6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2" fontId="0" fillId="3" borderId="12" xfId="0" applyNumberForma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2" fontId="0" fillId="3" borderId="7" xfId="0" applyNumberFormat="1" applyFill="1" applyBorder="1"/>
    <xf numFmtId="2" fontId="0" fillId="3" borderId="9" xfId="0" applyNumberFormat="1" applyFill="1" applyBorder="1"/>
    <xf numFmtId="2" fontId="0" fillId="3" borderId="5" xfId="0" applyNumberFormat="1" applyFill="1" applyBorder="1" applyAlignment="1">
      <alignment horizontal="right"/>
    </xf>
    <xf numFmtId="2" fontId="0" fillId="3" borderId="6" xfId="0" applyNumberFormat="1" applyFill="1" applyBorder="1" applyAlignment="1">
      <alignment horizontal="right"/>
    </xf>
    <xf numFmtId="2" fontId="0" fillId="3" borderId="7" xfId="0" applyNumberFormat="1" applyFill="1" applyBorder="1" applyAlignment="1">
      <alignment horizontal="right"/>
    </xf>
    <xf numFmtId="2" fontId="0" fillId="3" borderId="9" xfId="0" applyNumberFormat="1" applyFill="1" applyBorder="1" applyAlignment="1">
      <alignment horizontal="right"/>
    </xf>
    <xf numFmtId="2" fontId="0" fillId="2" borderId="0" xfId="0" applyNumberFormat="1" applyFill="1"/>
    <xf numFmtId="0" fontId="1" fillId="3" borderId="15" xfId="0" applyFont="1" applyFill="1" applyBorder="1"/>
    <xf numFmtId="0" fontId="1" fillId="3" borderId="1" xfId="0" applyFont="1" applyFill="1" applyBorder="1"/>
    <xf numFmtId="2" fontId="0" fillId="3" borderId="4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2" fontId="0" fillId="3" borderId="0" xfId="0" applyNumberFormat="1" applyFill="1" applyBorder="1"/>
    <xf numFmtId="2" fontId="0" fillId="3" borderId="8" xfId="0" applyNumberFormat="1" applyFill="1" applyBorder="1"/>
    <xf numFmtId="11" fontId="0" fillId="3" borderId="4" xfId="0" applyNumberFormat="1" applyFill="1" applyBorder="1"/>
    <xf numFmtId="11" fontId="0" fillId="3" borderId="6" xfId="0" applyNumberFormat="1" applyFill="1" applyBorder="1"/>
    <xf numFmtId="11" fontId="0" fillId="3" borderId="9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104111986001753E-2"/>
          <c:y val="7.4548702245552628E-2"/>
          <c:w val="0.90611111111111109"/>
          <c:h val="0.89719889180519097"/>
        </c:manualLayout>
      </c:layout>
      <c:scatterChart>
        <c:scatterStyle val="lineMarker"/>
        <c:varyColors val="0"/>
        <c:ser>
          <c:idx val="1"/>
          <c:order val="1"/>
          <c:tx>
            <c:v>sin(x)</c:v>
          </c:tx>
          <c:marker>
            <c:symbol val="none"/>
          </c:marker>
          <c:xVal>
            <c:numRef>
              <c:f>SplineInterpolation!$B$14:$B$33</c:f>
              <c:numCache>
                <c:formatCode>0.00</c:formatCode>
                <c:ptCount val="20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</c:numCache>
            </c:numRef>
          </c:xVal>
          <c:yVal>
            <c:numRef>
              <c:f>SplineInterpolation!$D$14:$D$33</c:f>
              <c:numCache>
                <c:formatCode>0.00</c:formatCode>
                <c:ptCount val="20"/>
                <c:pt idx="0">
                  <c:v>-0.8414709848078965</c:v>
                </c:pt>
                <c:pt idx="1">
                  <c:v>-0.68163876002333412</c:v>
                </c:pt>
                <c:pt idx="2">
                  <c:v>-0.47942553860420301</c:v>
                </c:pt>
                <c:pt idx="3">
                  <c:v>-0.24740395925452294</c:v>
                </c:pt>
                <c:pt idx="4">
                  <c:v>0</c:v>
                </c:pt>
                <c:pt idx="5">
                  <c:v>0.24740395925452294</c:v>
                </c:pt>
                <c:pt idx="6">
                  <c:v>0.47942553860420301</c:v>
                </c:pt>
                <c:pt idx="7">
                  <c:v>0.68163876002333412</c:v>
                </c:pt>
                <c:pt idx="8">
                  <c:v>0.8414709848078965</c:v>
                </c:pt>
                <c:pt idx="9">
                  <c:v>0.9489846193555862</c:v>
                </c:pt>
                <c:pt idx="10">
                  <c:v>0.99749498660405445</c:v>
                </c:pt>
                <c:pt idx="11">
                  <c:v>0.98398594687393692</c:v>
                </c:pt>
                <c:pt idx="12">
                  <c:v>0.90929742682568171</c:v>
                </c:pt>
                <c:pt idx="13">
                  <c:v>0.7780731968879212</c:v>
                </c:pt>
                <c:pt idx="14">
                  <c:v>0.59847214410395655</c:v>
                </c:pt>
                <c:pt idx="15">
                  <c:v>0.38166099205233167</c:v>
                </c:pt>
                <c:pt idx="16">
                  <c:v>0.14112000805986721</c:v>
                </c:pt>
                <c:pt idx="17">
                  <c:v>-0.10819513453010837</c:v>
                </c:pt>
                <c:pt idx="18">
                  <c:v>-0.35078322768961984</c:v>
                </c:pt>
                <c:pt idx="19">
                  <c:v>-0.57156131874234373</c:v>
                </c:pt>
              </c:numCache>
            </c:numRef>
          </c:yVal>
          <c:smooth val="0"/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rgbClr val="FFFF00"/>
              </a:solidFill>
            </c:spPr>
          </c:marker>
          <c:xVal>
            <c:numRef>
              <c:f>SplineInterpolation!$B$6:$B$9</c:f>
              <c:numCache>
                <c:formatCode>0.00</c:formatCode>
                <c:ptCount val="4"/>
                <c:pt idx="0">
                  <c:v>0</c:v>
                </c:pt>
                <c:pt idx="1">
                  <c:v>1.0471975511965976</c:v>
                </c:pt>
                <c:pt idx="2">
                  <c:v>2.0943951023931953</c:v>
                </c:pt>
                <c:pt idx="3">
                  <c:v>3.1415926535897931</c:v>
                </c:pt>
              </c:numCache>
            </c:numRef>
          </c:xVal>
          <c:yVal>
            <c:numRef>
              <c:f>SplineInterpolation!$C$6:$C$9</c:f>
              <c:numCache>
                <c:formatCode>0.00</c:formatCode>
                <c:ptCount val="4"/>
                <c:pt idx="0">
                  <c:v>0</c:v>
                </c:pt>
                <c:pt idx="1">
                  <c:v>0.8660254037844386</c:v>
                </c:pt>
                <c:pt idx="2">
                  <c:v>0.86602540378443871</c:v>
                </c:pt>
                <c:pt idx="3">
                  <c:v>1.22514845490862E-16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38784"/>
        <c:axId val="150056960"/>
      </c:scatterChar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SplineInterpolation!$B$14:$B$33</c:f>
              <c:numCache>
                <c:formatCode>0.00</c:formatCode>
                <c:ptCount val="20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</c:numCache>
            </c:numRef>
          </c:xVal>
          <c:yVal>
            <c:numRef>
              <c:f>SplineInterpolation!$E$14:$E$33</c:f>
              <c:numCache>
                <c:formatCode>0.00E+00</c:formatCode>
                <c:ptCount val="20"/>
                <c:pt idx="0">
                  <c:v>9.5527048360910527E-5</c:v>
                </c:pt>
                <c:pt idx="1">
                  <c:v>-9.742589754795361E-4</c:v>
                </c:pt>
                <c:pt idx="2">
                  <c:v>-2.0827202124611977E-3</c:v>
                </c:pt>
                <c:pt idx="3">
                  <c:v>-1.6626047507003749E-3</c:v>
                </c:pt>
                <c:pt idx="4">
                  <c:v>0</c:v>
                </c:pt>
                <c:pt idx="5">
                  <c:v>1.6626047507003749E-3</c:v>
                </c:pt>
                <c:pt idx="6">
                  <c:v>2.0827202124611977E-3</c:v>
                </c:pt>
                <c:pt idx="7">
                  <c:v>9.742589754795361E-4</c:v>
                </c:pt>
                <c:pt idx="8">
                  <c:v>-9.5527048360910527E-5</c:v>
                </c:pt>
                <c:pt idx="9">
                  <c:v>1.8176194220089759E-3</c:v>
                </c:pt>
                <c:pt idx="10">
                  <c:v>3.9406764583241882E-3</c:v>
                </c:pt>
                <c:pt idx="11">
                  <c:v>3.2733618247003937E-3</c:v>
                </c:pt>
                <c:pt idx="12">
                  <c:v>6.5560218158555728E-4</c:v>
                </c:pt>
                <c:pt idx="13">
                  <c:v>1.6291126432943503E-4</c:v>
                </c:pt>
                <c:pt idx="14">
                  <c:v>1.5946283358406754E-3</c:v>
                </c:pt>
                <c:pt idx="15">
                  <c:v>2.1044459065989174E-3</c:v>
                </c:pt>
                <c:pt idx="16">
                  <c:v>1.0327406875214606E-3</c:v>
                </c:pt>
                <c:pt idx="17">
                  <c:v>-8.0470459396647653E-4</c:v>
                </c:pt>
                <c:pt idx="18">
                  <c:v>-2.0465725257929335E-3</c:v>
                </c:pt>
                <c:pt idx="19">
                  <c:v>-1.7498010475377468E-3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60032"/>
        <c:axId val="150058496"/>
      </c:scatterChart>
      <c:valAx>
        <c:axId val="15003878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50056960"/>
        <c:crosses val="autoZero"/>
        <c:crossBetween val="midCat"/>
      </c:valAx>
      <c:valAx>
        <c:axId val="1500569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50038784"/>
        <c:crosses val="autoZero"/>
        <c:crossBetween val="midCat"/>
      </c:valAx>
      <c:valAx>
        <c:axId val="150058496"/>
        <c:scaling>
          <c:orientation val="minMax"/>
        </c:scaling>
        <c:delete val="0"/>
        <c:axPos val="r"/>
        <c:numFmt formatCode="0.00E+00" sourceLinked="1"/>
        <c:majorTickMark val="out"/>
        <c:minorTickMark val="none"/>
        <c:tickLblPos val="nextTo"/>
        <c:crossAx val="150060032"/>
        <c:crosses val="max"/>
        <c:crossBetween val="midCat"/>
      </c:valAx>
      <c:valAx>
        <c:axId val="1500600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005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1</xdr:row>
          <xdr:rowOff>190500</xdr:rowOff>
        </xdr:from>
        <xdr:to>
          <xdr:col>13</xdr:col>
          <xdr:colOff>57150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11</xdr:row>
      <xdr:rowOff>76200</xdr:rowOff>
    </xdr:from>
    <xdr:to>
      <xdr:col>13</xdr:col>
      <xdr:colOff>247650</xdr:colOff>
      <xdr:row>25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S50"/>
  <sheetViews>
    <sheetView tabSelected="1" topLeftCell="F12" workbookViewId="0">
      <selection activeCell="N23" sqref="N23"/>
    </sheetView>
  </sheetViews>
  <sheetFormatPr defaultRowHeight="15" x14ac:dyDescent="0.25"/>
  <cols>
    <col min="1" max="1" width="3.42578125" style="1" customWidth="1"/>
    <col min="2" max="2" width="8.5703125" style="1" customWidth="1"/>
    <col min="3" max="3" width="8.7109375" style="1" customWidth="1"/>
    <col min="4" max="4" width="8.5703125" style="1" customWidth="1"/>
    <col min="5" max="5" width="12.5703125" style="1" bestFit="1" customWidth="1"/>
    <col min="6" max="8" width="9.140625" style="1"/>
    <col min="9" max="9" width="12" style="1" customWidth="1"/>
    <col min="10" max="16384" width="9.140625" style="1"/>
  </cols>
  <sheetData>
    <row r="2" spans="2:15" ht="26.25" x14ac:dyDescent="0.4">
      <c r="B2" s="2" t="s">
        <v>0</v>
      </c>
    </row>
    <row r="4" spans="2:15" ht="15.75" x14ac:dyDescent="0.25">
      <c r="B4" s="15" t="s">
        <v>8</v>
      </c>
    </row>
    <row r="5" spans="2:15" x14ac:dyDescent="0.25">
      <c r="B5" s="16" t="s">
        <v>2</v>
      </c>
      <c r="C5" s="17"/>
      <c r="D5" s="17" t="s">
        <v>3</v>
      </c>
      <c r="E5" s="18" t="s">
        <v>4</v>
      </c>
      <c r="G5" s="31" t="s">
        <v>10</v>
      </c>
      <c r="H5" s="31" t="s">
        <v>10</v>
      </c>
      <c r="I5" s="31" t="s">
        <v>12</v>
      </c>
    </row>
    <row r="6" spans="2:15" x14ac:dyDescent="0.25">
      <c r="B6" s="19" t="s">
        <v>6</v>
      </c>
      <c r="C6" s="20" t="s">
        <v>1</v>
      </c>
      <c r="D6" s="20" t="s">
        <v>6</v>
      </c>
      <c r="E6" s="21" t="s">
        <v>5</v>
      </c>
      <c r="G6" s="32" t="s">
        <v>11</v>
      </c>
      <c r="H6" s="32" t="s">
        <v>11</v>
      </c>
      <c r="I6" s="32" t="s">
        <v>13</v>
      </c>
    </row>
    <row r="7" spans="2:15" x14ac:dyDescent="0.25">
      <c r="B7" s="14" t="s">
        <v>7</v>
      </c>
      <c r="C7" s="4">
        <v>1</v>
      </c>
      <c r="D7" s="4">
        <v>1.2</v>
      </c>
      <c r="E7" s="5">
        <v>0.5</v>
      </c>
      <c r="G7" s="33">
        <f t="array" ref="G7:G10">tridiagonalsolver(B8:B10,C7:C10,D7:D9,E7:E10)</f>
        <v>1.0839864435500952</v>
      </c>
      <c r="H7" s="33">
        <f t="array" ref="H7:H10">tridiagonalsolverVB(B8:B10,C7:C10,D7:D9,E7:E10)</f>
        <v>1.0839864435500952</v>
      </c>
      <c r="I7" s="33">
        <f t="array" ref="I7:I10">MMULT(B14:E17,G7:G10)</f>
        <v>0.5</v>
      </c>
      <c r="J7" s="33">
        <f t="array" ref="J7:J10">tridiagonalsolverparallel(B8:B10,C7:C10,D7:D9,E7:E10)</f>
        <v>1.0839864435500952</v>
      </c>
    </row>
    <row r="8" spans="2:15" x14ac:dyDescent="0.25">
      <c r="B8" s="6">
        <v>1.1000000000000001</v>
      </c>
      <c r="C8" s="7">
        <v>2</v>
      </c>
      <c r="D8" s="7">
        <v>2.2000000000000002</v>
      </c>
      <c r="E8" s="8">
        <v>1.5</v>
      </c>
      <c r="G8" s="34">
        <v>-0.48665536962507933</v>
      </c>
      <c r="H8" s="34">
        <v>-0.48665536962507927</v>
      </c>
      <c r="I8" s="34">
        <v>1.5</v>
      </c>
      <c r="J8" s="34">
        <v>-0.48665536962507933</v>
      </c>
    </row>
    <row r="9" spans="2:15" x14ac:dyDescent="0.25">
      <c r="B9" s="6">
        <v>2.1</v>
      </c>
      <c r="C9" s="7">
        <v>3</v>
      </c>
      <c r="D9" s="7">
        <v>3.2</v>
      </c>
      <c r="E9" s="8">
        <v>2.5</v>
      </c>
      <c r="G9" s="34">
        <v>0.58223893242956992</v>
      </c>
      <c r="H9" s="34">
        <v>0.58223893242956992</v>
      </c>
      <c r="I9" s="34">
        <v>2.5</v>
      </c>
      <c r="J9" s="34">
        <v>0.58223893242956992</v>
      </c>
    </row>
    <row r="10" spans="2:15" x14ac:dyDescent="0.25">
      <c r="B10" s="10">
        <v>2.2000000000000002</v>
      </c>
      <c r="C10" s="11">
        <v>4</v>
      </c>
      <c r="D10" s="12" t="s">
        <v>7</v>
      </c>
      <c r="E10" s="13">
        <v>3.5</v>
      </c>
      <c r="G10" s="35">
        <v>0.55476858716373645</v>
      </c>
      <c r="H10" s="35">
        <v>0.55476858716373656</v>
      </c>
      <c r="I10" s="35">
        <v>3.5</v>
      </c>
      <c r="J10" s="35">
        <v>0.55476858716373645</v>
      </c>
    </row>
    <row r="13" spans="2:15" ht="15.75" x14ac:dyDescent="0.25">
      <c r="B13" s="15" t="s">
        <v>9</v>
      </c>
    </row>
    <row r="14" spans="2:15" x14ac:dyDescent="0.25">
      <c r="B14" s="3">
        <f>C7</f>
        <v>1</v>
      </c>
      <c r="C14" s="4">
        <f>D7</f>
        <v>1.2</v>
      </c>
      <c r="D14" s="28">
        <v>0</v>
      </c>
      <c r="E14" s="29">
        <v>0</v>
      </c>
      <c r="F14" s="22">
        <f>E7</f>
        <v>0.5</v>
      </c>
      <c r="H14" s="3">
        <v>1</v>
      </c>
      <c r="I14" s="4">
        <v>0</v>
      </c>
      <c r="J14" s="4">
        <f t="array" ref="J14:K15">MMULT(MINVERSE(B14:C15),D14:E15)</f>
        <v>-3.8823529411764701</v>
      </c>
      <c r="K14" s="29">
        <v>0</v>
      </c>
      <c r="L14" s="22">
        <f t="array" ref="L14:L15">MMULT(MINVERSE(B14:C15),F14:F15)</f>
        <v>-1.1764705882352937</v>
      </c>
      <c r="O14" s="1">
        <f t="array" ref="O14:O17">MMULT(H14:K17,M22:M25)</f>
        <v>-1.1764705882352937</v>
      </c>
    </row>
    <row r="15" spans="2:15" x14ac:dyDescent="0.25">
      <c r="B15" s="6">
        <f>B8</f>
        <v>1.1000000000000001</v>
      </c>
      <c r="C15" s="7">
        <f>C8</f>
        <v>2</v>
      </c>
      <c r="D15" s="7">
        <f>D8</f>
        <v>2.2000000000000002</v>
      </c>
      <c r="E15" s="30">
        <v>0</v>
      </c>
      <c r="F15" s="23">
        <f>E8</f>
        <v>1.5</v>
      </c>
      <c r="H15" s="6">
        <v>0</v>
      </c>
      <c r="I15" s="7">
        <v>1</v>
      </c>
      <c r="J15" s="7">
        <v>3.2352941176470589</v>
      </c>
      <c r="K15" s="30">
        <v>0</v>
      </c>
      <c r="L15" s="23">
        <v>1.3970588235294115</v>
      </c>
      <c r="O15" s="1">
        <v>1.3970588235294115</v>
      </c>
    </row>
    <row r="16" spans="2:15" x14ac:dyDescent="0.25">
      <c r="B16" s="25">
        <v>0</v>
      </c>
      <c r="C16" s="7">
        <f>B9</f>
        <v>2.1</v>
      </c>
      <c r="D16" s="7">
        <f>C9</f>
        <v>3</v>
      </c>
      <c r="E16" s="8">
        <f>D9</f>
        <v>3.2</v>
      </c>
      <c r="F16" s="23">
        <f>E9</f>
        <v>2.5</v>
      </c>
      <c r="H16" s="25">
        <v>0</v>
      </c>
      <c r="I16" s="7">
        <v>0</v>
      </c>
      <c r="J16" s="7">
        <f t="shared" ref="J16:L17" si="0">D16-J19</f>
        <v>-3.7941176470588243</v>
      </c>
      <c r="K16" s="7">
        <f t="shared" si="0"/>
        <v>3.2</v>
      </c>
      <c r="L16" s="23">
        <f t="shared" si="0"/>
        <v>-0.43382352941176405</v>
      </c>
      <c r="O16" s="1">
        <v>-0.43382352941176405</v>
      </c>
    </row>
    <row r="17" spans="2:19" x14ac:dyDescent="0.25">
      <c r="B17" s="26">
        <v>0</v>
      </c>
      <c r="C17" s="27">
        <v>0</v>
      </c>
      <c r="D17" s="11">
        <f>B10</f>
        <v>2.2000000000000002</v>
      </c>
      <c r="E17" s="13">
        <f>C10</f>
        <v>4</v>
      </c>
      <c r="F17" s="24">
        <f>E10</f>
        <v>3.5</v>
      </c>
      <c r="H17" s="26">
        <v>0</v>
      </c>
      <c r="I17" s="27">
        <v>0</v>
      </c>
      <c r="J17" s="11">
        <f t="shared" si="0"/>
        <v>2.2000000000000002</v>
      </c>
      <c r="K17" s="11">
        <f t="shared" si="0"/>
        <v>4</v>
      </c>
      <c r="L17" s="24">
        <f t="shared" si="0"/>
        <v>3.5</v>
      </c>
      <c r="O17" s="1">
        <v>3.5</v>
      </c>
    </row>
    <row r="19" spans="2:19" x14ac:dyDescent="0.25">
      <c r="J19" s="1">
        <f t="array" ref="J19:K20">MMULT(B16:C17,J14:K15)</f>
        <v>6.7941176470588243</v>
      </c>
      <c r="K19" s="1">
        <v>0</v>
      </c>
      <c r="L19" s="1">
        <f t="array" ref="L19:L20">MMULT(B16:C17,L14:L15)</f>
        <v>2.9338235294117641</v>
      </c>
    </row>
    <row r="20" spans="2:19" x14ac:dyDescent="0.25">
      <c r="J20" s="1">
        <v>0</v>
      </c>
      <c r="K20" s="1">
        <v>0</v>
      </c>
      <c r="L20" s="1">
        <v>0</v>
      </c>
    </row>
    <row r="22" spans="2:19" x14ac:dyDescent="0.25">
      <c r="H22" s="3">
        <v>1</v>
      </c>
      <c r="I22" s="4">
        <v>0</v>
      </c>
      <c r="J22" s="4">
        <f>J14</f>
        <v>-3.8823529411764701</v>
      </c>
      <c r="K22" s="29">
        <f t="shared" ref="K22:L22" si="1">K14</f>
        <v>0</v>
      </c>
      <c r="L22" s="22">
        <f t="shared" si="1"/>
        <v>-1.1764705882352937</v>
      </c>
      <c r="M22" s="46">
        <f>L22-J22*L24</f>
        <v>1.0839864435500945</v>
      </c>
      <c r="O22" s="1">
        <f t="array" ref="O22:O25">MMULT(H22:K25,M22:M25)</f>
        <v>-1.1764705882352937</v>
      </c>
    </row>
    <row r="23" spans="2:19" x14ac:dyDescent="0.25">
      <c r="H23" s="6">
        <v>0</v>
      </c>
      <c r="I23" s="7">
        <v>1</v>
      </c>
      <c r="J23" s="7">
        <f t="shared" ref="J23:L23" si="2">J15</f>
        <v>3.2352941176470589</v>
      </c>
      <c r="K23" s="30">
        <f t="shared" si="2"/>
        <v>0</v>
      </c>
      <c r="L23" s="23">
        <f t="shared" si="2"/>
        <v>1.3970588235294115</v>
      </c>
      <c r="M23" s="46">
        <f>L23-J23*L24</f>
        <v>-0.48665536962507905</v>
      </c>
      <c r="O23" s="1">
        <v>1.3970588235294115</v>
      </c>
    </row>
    <row r="24" spans="2:19" x14ac:dyDescent="0.25">
      <c r="H24" s="25">
        <v>0</v>
      </c>
      <c r="I24" s="7">
        <v>0</v>
      </c>
      <c r="J24" s="7">
        <v>1</v>
      </c>
      <c r="K24" s="7">
        <v>0</v>
      </c>
      <c r="L24" s="23">
        <f t="array" ref="L24:L25">MMULT(MINVERSE(J16:K17),L16:L17)</f>
        <v>0.58223893242956981</v>
      </c>
      <c r="M24" s="1">
        <f>L24</f>
        <v>0.58223893242956981</v>
      </c>
      <c r="O24" s="1">
        <v>0.58223893242956981</v>
      </c>
    </row>
    <row r="25" spans="2:19" x14ac:dyDescent="0.25">
      <c r="H25" s="26">
        <v>0</v>
      </c>
      <c r="I25" s="27">
        <v>0</v>
      </c>
      <c r="J25" s="11">
        <v>0</v>
      </c>
      <c r="K25" s="11">
        <v>1</v>
      </c>
      <c r="L25" s="24">
        <v>0.55476858716373656</v>
      </c>
      <c r="M25" s="1">
        <f>L25</f>
        <v>0.55476858716373656</v>
      </c>
      <c r="O25" s="1">
        <v>0.55476858716373656</v>
      </c>
    </row>
    <row r="29" spans="2:19" x14ac:dyDescent="0.25">
      <c r="B29" s="3">
        <v>1</v>
      </c>
      <c r="C29" s="5">
        <v>1.2</v>
      </c>
      <c r="D29" s="4">
        <v>0</v>
      </c>
      <c r="E29" s="4">
        <v>0</v>
      </c>
      <c r="F29" s="4"/>
      <c r="G29" s="4"/>
      <c r="H29" s="22">
        <v>0.5</v>
      </c>
      <c r="J29" s="57">
        <v>1</v>
      </c>
      <c r="K29" s="59">
        <v>0</v>
      </c>
      <c r="L29" s="58">
        <f t="array" ref="L29:M30">MMULT(MINVERSE(B29:C30),D29:E30)</f>
        <v>-3.8823529411764701</v>
      </c>
      <c r="M29" s="58">
        <v>0</v>
      </c>
      <c r="N29" s="58"/>
      <c r="O29" s="58"/>
      <c r="P29" s="59">
        <f t="array" ref="P29:P30">MMULT(MINVERSE(B29:C30),H29:H30)</f>
        <v>-1.1764705882352937</v>
      </c>
    </row>
    <row r="30" spans="2:19" x14ac:dyDescent="0.25">
      <c r="B30" s="10">
        <v>1.1000000000000001</v>
      </c>
      <c r="C30" s="13">
        <v>2</v>
      </c>
      <c r="D30" s="7">
        <v>2.2000000000000002</v>
      </c>
      <c r="E30" s="7">
        <v>0</v>
      </c>
      <c r="F30" s="7"/>
      <c r="G30" s="7"/>
      <c r="H30" s="23">
        <v>1.5</v>
      </c>
      <c r="J30" s="63">
        <v>0</v>
      </c>
      <c r="K30" s="65">
        <v>1</v>
      </c>
      <c r="L30" s="61">
        <v>3.2352941176470589</v>
      </c>
      <c r="M30" s="61">
        <v>0</v>
      </c>
      <c r="N30" s="61"/>
      <c r="O30" s="61"/>
      <c r="P30" s="62">
        <v>1.3970588235294115</v>
      </c>
    </row>
    <row r="31" spans="2:19" x14ac:dyDescent="0.25">
      <c r="B31" s="6">
        <v>0</v>
      </c>
      <c r="C31" s="7">
        <v>2.1</v>
      </c>
      <c r="D31" s="3">
        <v>3</v>
      </c>
      <c r="E31" s="5">
        <v>3.2</v>
      </c>
      <c r="F31" s="7"/>
      <c r="G31" s="7"/>
      <c r="H31" s="22">
        <v>2.5</v>
      </c>
      <c r="J31" s="60"/>
      <c r="K31" s="61"/>
      <c r="L31" s="57">
        <f>D31-L37</f>
        <v>-3.7941176470588243</v>
      </c>
      <c r="M31" s="59">
        <f>E31-M37</f>
        <v>3.2</v>
      </c>
      <c r="N31" s="61">
        <v>0</v>
      </c>
      <c r="O31" s="61">
        <v>0</v>
      </c>
      <c r="P31" s="62">
        <f>H31-P37</f>
        <v>-0.43382352941176405</v>
      </c>
      <c r="R31" s="1" t="s">
        <v>38</v>
      </c>
      <c r="S31" s="1" t="s">
        <v>40</v>
      </c>
    </row>
    <row r="32" spans="2:19" x14ac:dyDescent="0.25">
      <c r="B32" s="6">
        <v>0</v>
      </c>
      <c r="C32" s="7">
        <v>0</v>
      </c>
      <c r="D32" s="10">
        <v>2.2000000000000002</v>
      </c>
      <c r="E32" s="13">
        <v>4</v>
      </c>
      <c r="F32" s="7">
        <v>2</v>
      </c>
      <c r="G32" s="7"/>
      <c r="H32" s="24">
        <v>3.5</v>
      </c>
      <c r="J32" s="60"/>
      <c r="K32" s="61"/>
      <c r="L32" s="63">
        <f>D32-L38</f>
        <v>2.2000000000000002</v>
      </c>
      <c r="M32" s="65">
        <f>E32-M38</f>
        <v>4</v>
      </c>
      <c r="N32" s="61">
        <v>2</v>
      </c>
      <c r="O32" s="61">
        <v>0</v>
      </c>
      <c r="P32" s="62">
        <f>H32-P38</f>
        <v>3.5</v>
      </c>
      <c r="R32" s="1">
        <f t="array" ref="R32:R33">MMULT(MINVERSE(L31:M32),N31:N32)</f>
        <v>0.28807456047447572</v>
      </c>
      <c r="S32" s="1">
        <f t="array" ref="S32:S33">MMULT(MINVERSE(L31:M32),P31:P32)</f>
        <v>0.58223893242956981</v>
      </c>
    </row>
    <row r="33" spans="2:19" x14ac:dyDescent="0.25">
      <c r="B33" s="6"/>
      <c r="C33" s="7"/>
      <c r="D33" s="7">
        <v>0</v>
      </c>
      <c r="E33" s="7">
        <v>1</v>
      </c>
      <c r="F33" s="3">
        <v>3</v>
      </c>
      <c r="G33" s="5">
        <v>1</v>
      </c>
      <c r="H33" s="23">
        <v>4.5</v>
      </c>
      <c r="J33" s="60"/>
      <c r="K33" s="61"/>
      <c r="L33" s="61"/>
      <c r="M33" s="61"/>
      <c r="N33" s="57"/>
      <c r="O33" s="59"/>
      <c r="P33" s="62"/>
      <c r="R33" s="1">
        <v>0.34155899173903836</v>
      </c>
      <c r="S33" s="1">
        <v>0.55476858716373656</v>
      </c>
    </row>
    <row r="34" spans="2:19" x14ac:dyDescent="0.25">
      <c r="B34" s="10"/>
      <c r="C34" s="11"/>
      <c r="D34" s="11">
        <v>0</v>
      </c>
      <c r="E34" s="11">
        <v>0</v>
      </c>
      <c r="F34" s="10">
        <v>1</v>
      </c>
      <c r="G34" s="13">
        <v>2</v>
      </c>
      <c r="H34" s="24">
        <v>5</v>
      </c>
      <c r="J34" s="63"/>
      <c r="K34" s="64"/>
      <c r="L34" s="64"/>
      <c r="M34" s="64"/>
      <c r="N34" s="63"/>
      <c r="O34" s="65"/>
      <c r="P34" s="65"/>
      <c r="R34" s="1" t="s">
        <v>39</v>
      </c>
    </row>
    <row r="35" spans="2:19" x14ac:dyDescent="0.25">
      <c r="R35" s="1">
        <f>L31*M32-M31*L32</f>
        <v>-22.216470588235296</v>
      </c>
    </row>
    <row r="36" spans="2:19" x14ac:dyDescent="0.25">
      <c r="B36" s="1" t="s">
        <v>31</v>
      </c>
      <c r="C36" s="1" t="s">
        <v>32</v>
      </c>
      <c r="D36" s="1" t="s">
        <v>33</v>
      </c>
      <c r="E36" s="1" t="s">
        <v>34</v>
      </c>
      <c r="G36" s="1" t="s">
        <v>35</v>
      </c>
      <c r="H36" s="1" t="s">
        <v>36</v>
      </c>
      <c r="I36" s="1" t="s">
        <v>37</v>
      </c>
    </row>
    <row r="37" spans="2:19" x14ac:dyDescent="0.25">
      <c r="B37" s="1" t="s">
        <v>7</v>
      </c>
      <c r="C37" s="1">
        <f>B29</f>
        <v>1</v>
      </c>
      <c r="D37" s="1">
        <f>C29</f>
        <v>1.2</v>
      </c>
      <c r="E37" s="1">
        <f t="shared" ref="E37:E42" si="3">H29</f>
        <v>0.5</v>
      </c>
      <c r="G37" s="1">
        <f t="array" ref="G37:G42">tridiagonalsolver(B38:B42,C37:C42,D37:D41,E37:E42)</f>
        <v>0.33513248282630026</v>
      </c>
      <c r="H37" s="1">
        <f t="array" ref="H37:H42">tridiagonalsolverVB(B38:B42,C37:C42,D37:D41,E37:E42)</f>
        <v>0.33513248282630015</v>
      </c>
      <c r="I37" s="1">
        <f t="array" ref="I37:I42">tridiagonalsolverparallel(B38:B42,C37:C42,D37:D41,E37:E42)</f>
        <v>0.33513248282630026</v>
      </c>
      <c r="L37" s="1">
        <f t="array" ref="L37:M38">MMULT(B31:C32,L29:M30)</f>
        <v>6.7941176470588243</v>
      </c>
      <c r="M37" s="1">
        <v>0</v>
      </c>
      <c r="P37" s="1">
        <f t="array" ref="P37:P38">MMULT(B31:C32,P29:P30)</f>
        <v>2.9338235294117641</v>
      </c>
    </row>
    <row r="38" spans="2:19" x14ac:dyDescent="0.25">
      <c r="B38" s="1">
        <f>B30</f>
        <v>1.1000000000000001</v>
      </c>
      <c r="C38" s="1">
        <f>C30</f>
        <v>2</v>
      </c>
      <c r="D38" s="1">
        <f>D30</f>
        <v>2.2000000000000002</v>
      </c>
      <c r="E38" s="1">
        <f t="shared" si="3"/>
        <v>1.5</v>
      </c>
      <c r="G38" s="1">
        <v>0.13738959764474981</v>
      </c>
      <c r="H38" s="1">
        <v>0.13738959764474989</v>
      </c>
      <c r="I38" s="1">
        <v>0.13738959764474981</v>
      </c>
      <c r="L38" s="1">
        <v>0</v>
      </c>
      <c r="M38" s="1">
        <v>0</v>
      </c>
      <c r="P38" s="1">
        <v>0</v>
      </c>
    </row>
    <row r="39" spans="2:19" x14ac:dyDescent="0.25">
      <c r="B39" s="1">
        <f>C31</f>
        <v>2.1</v>
      </c>
      <c r="C39" s="1">
        <f>D31</f>
        <v>3</v>
      </c>
      <c r="D39" s="1">
        <f>E31</f>
        <v>3.2</v>
      </c>
      <c r="E39" s="1">
        <f t="shared" si="3"/>
        <v>2.5</v>
      </c>
      <c r="G39" s="1">
        <v>0.38935230618253186</v>
      </c>
      <c r="H39" s="1">
        <v>0.38935230618253186</v>
      </c>
      <c r="I39" s="1">
        <v>0.38935230618253186</v>
      </c>
      <c r="J39" s="57">
        <f>J29</f>
        <v>1</v>
      </c>
      <c r="K39" s="59">
        <f t="shared" ref="K39:P39" si="4">K29</f>
        <v>0</v>
      </c>
      <c r="L39" s="58">
        <f t="shared" si="4"/>
        <v>-3.8823529411764701</v>
      </c>
      <c r="M39" s="58">
        <f t="shared" si="4"/>
        <v>0</v>
      </c>
      <c r="N39" s="58">
        <f t="shared" si="4"/>
        <v>0</v>
      </c>
      <c r="O39" s="59">
        <f t="shared" si="4"/>
        <v>0</v>
      </c>
      <c r="P39" s="59">
        <f t="shared" si="4"/>
        <v>-1.1764705882352937</v>
      </c>
    </row>
    <row r="40" spans="2:19" x14ac:dyDescent="0.25">
      <c r="B40" s="1">
        <f>D32</f>
        <v>2.2000000000000002</v>
      </c>
      <c r="C40" s="1">
        <f>E32</f>
        <v>4</v>
      </c>
      <c r="D40" s="1">
        <f>F32</f>
        <v>2</v>
      </c>
      <c r="E40" s="1">
        <f t="shared" si="3"/>
        <v>3.5</v>
      </c>
      <c r="G40" s="1">
        <v>0.32607028949950928</v>
      </c>
      <c r="H40" s="1">
        <v>0.32607028949950934</v>
      </c>
      <c r="I40" s="1">
        <v>0.32607028949950922</v>
      </c>
      <c r="J40" s="63">
        <f t="shared" ref="J40:P40" si="5">J30</f>
        <v>0</v>
      </c>
      <c r="K40" s="65">
        <f t="shared" si="5"/>
        <v>1</v>
      </c>
      <c r="L40" s="61">
        <f t="shared" si="5"/>
        <v>3.2352941176470589</v>
      </c>
      <c r="M40" s="61">
        <f t="shared" si="5"/>
        <v>0</v>
      </c>
      <c r="N40" s="61">
        <f t="shared" si="5"/>
        <v>0</v>
      </c>
      <c r="O40" s="62">
        <f t="shared" si="5"/>
        <v>0</v>
      </c>
      <c r="P40" s="62">
        <f t="shared" si="5"/>
        <v>1.3970588235294115</v>
      </c>
    </row>
    <row r="41" spans="2:19" x14ac:dyDescent="0.25">
      <c r="B41" s="1">
        <f>E33</f>
        <v>1</v>
      </c>
      <c r="C41" s="1">
        <f>F33</f>
        <v>3</v>
      </c>
      <c r="D41" s="1">
        <f>G33</f>
        <v>1</v>
      </c>
      <c r="E41" s="1">
        <f t="shared" si="3"/>
        <v>4.5</v>
      </c>
      <c r="G41" s="1">
        <v>0.6695718842001962</v>
      </c>
      <c r="H41" s="1">
        <v>0.66957188420019631</v>
      </c>
      <c r="I41" s="1">
        <v>0.66957188420019631</v>
      </c>
      <c r="J41" s="60"/>
      <c r="K41" s="61"/>
      <c r="L41" s="57">
        <v>1</v>
      </c>
      <c r="M41" s="59">
        <v>0</v>
      </c>
      <c r="N41" s="61">
        <f>R32</f>
        <v>0.28807456047447572</v>
      </c>
      <c r="O41" s="62">
        <f t="shared" ref="O41" si="6">O31</f>
        <v>0</v>
      </c>
      <c r="P41" s="62">
        <f>S32</f>
        <v>0.58223893242956981</v>
      </c>
    </row>
    <row r="42" spans="2:19" x14ac:dyDescent="0.25">
      <c r="B42" s="1">
        <f>F34</f>
        <v>1</v>
      </c>
      <c r="C42" s="1">
        <f>G34</f>
        <v>2</v>
      </c>
      <c r="E42" s="1">
        <f t="shared" si="3"/>
        <v>5</v>
      </c>
      <c r="G42" s="1">
        <v>2.165214057899902</v>
      </c>
      <c r="H42" s="1">
        <v>2.165214057899902</v>
      </c>
      <c r="I42" s="1">
        <v>2.1652140578999015</v>
      </c>
      <c r="J42" s="60"/>
      <c r="K42" s="61"/>
      <c r="L42" s="63">
        <v>0</v>
      </c>
      <c r="M42" s="65">
        <v>1</v>
      </c>
      <c r="N42" s="61">
        <f>R33</f>
        <v>0.34155899173903836</v>
      </c>
      <c r="O42" s="62">
        <f t="shared" ref="O42" si="7">O32</f>
        <v>0</v>
      </c>
      <c r="P42" s="62">
        <f>S33</f>
        <v>0.55476858716373656</v>
      </c>
    </row>
    <row r="43" spans="2:19" x14ac:dyDescent="0.25">
      <c r="J43" s="60"/>
      <c r="K43" s="61"/>
      <c r="L43" s="61"/>
      <c r="M43" s="61"/>
      <c r="N43" s="57">
        <f t="shared" ref="N43:P44" si="8">F33-N46</f>
        <v>2.6584410082609615</v>
      </c>
      <c r="O43" s="59">
        <f t="shared" si="8"/>
        <v>1</v>
      </c>
      <c r="P43" s="66">
        <f t="shared" si="8"/>
        <v>3.9452314128362636</v>
      </c>
      <c r="R43" s="1" t="s">
        <v>41</v>
      </c>
    </row>
    <row r="44" spans="2:19" x14ac:dyDescent="0.25">
      <c r="G44" s="1" t="s">
        <v>42</v>
      </c>
      <c r="J44" s="63"/>
      <c r="K44" s="64"/>
      <c r="L44" s="64"/>
      <c r="M44" s="64"/>
      <c r="N44" s="63">
        <f t="shared" si="8"/>
        <v>1</v>
      </c>
      <c r="O44" s="65">
        <f t="shared" si="8"/>
        <v>2</v>
      </c>
      <c r="P44" s="67">
        <f t="shared" si="8"/>
        <v>5</v>
      </c>
      <c r="R44" s="1">
        <f t="array" ref="R44:R45">MMULT(MINVERSE(N43:O44),P43:P44)</f>
        <v>0.66957188420019631</v>
      </c>
    </row>
    <row r="45" spans="2:19" x14ac:dyDescent="0.25">
      <c r="G45" s="1">
        <f t="array" ref="G45:G50">tridiagonalsolverparallelVB(B38:B42,C37:C42,D37:D41,E37:E42)</f>
        <v>0.33513248282630026</v>
      </c>
      <c r="R45" s="1">
        <v>2.165214057899902</v>
      </c>
    </row>
    <row r="46" spans="2:19" x14ac:dyDescent="0.25">
      <c r="G46" s="1">
        <v>0.13738959764474989</v>
      </c>
      <c r="N46" s="1">
        <f t="array" ref="N46:O47">MMULT(D33:E34,N41:O42)</f>
        <v>0.34155899173903836</v>
      </c>
      <c r="O46" s="1">
        <v>0</v>
      </c>
      <c r="P46" s="1">
        <f t="array" ref="P46:P47">MMULT(D33:E34,P41:P42)</f>
        <v>0.55476858716373656</v>
      </c>
      <c r="R46" s="1" t="s">
        <v>39</v>
      </c>
    </row>
    <row r="47" spans="2:19" x14ac:dyDescent="0.25">
      <c r="G47" s="1">
        <v>0.3893523061825318</v>
      </c>
      <c r="N47" s="1">
        <v>0</v>
      </c>
      <c r="O47" s="1">
        <v>0</v>
      </c>
      <c r="P47" s="1">
        <v>0</v>
      </c>
      <c r="R47" s="1">
        <f>N43*O44-O43*N44</f>
        <v>4.316882016521923</v>
      </c>
    </row>
    <row r="48" spans="2:19" x14ac:dyDescent="0.25">
      <c r="G48" s="1">
        <v>0.32607028949950928</v>
      </c>
    </row>
    <row r="49" spans="7:7" x14ac:dyDescent="0.25">
      <c r="G49" s="1">
        <v>0.66957188420019631</v>
      </c>
    </row>
    <row r="50" spans="7:7" x14ac:dyDescent="0.25">
      <c r="G50" s="1">
        <v>2.1652140578999015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485775</xdr:colOff>
                    <xdr:row>1</xdr:row>
                    <xdr:rowOff>190500</xdr:rowOff>
                  </from>
                  <to>
                    <xdr:col>13</xdr:col>
                    <xdr:colOff>57150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33"/>
  <sheetViews>
    <sheetView workbookViewId="0"/>
  </sheetViews>
  <sheetFormatPr defaultRowHeight="15" x14ac:dyDescent="0.25"/>
  <cols>
    <col min="1" max="1" width="3.42578125" style="1" customWidth="1"/>
    <col min="2" max="2" width="8.5703125" style="1" customWidth="1"/>
    <col min="3" max="3" width="8.7109375" style="1" customWidth="1"/>
    <col min="4" max="4" width="8" style="1" customWidth="1"/>
    <col min="5" max="5" width="11.85546875" style="1" customWidth="1"/>
    <col min="6" max="6" width="8.7109375" style="1" customWidth="1"/>
    <col min="7" max="7" width="4.5703125" style="1" customWidth="1"/>
    <col min="8" max="8" width="11.85546875" style="1" customWidth="1"/>
    <col min="9" max="9" width="8.7109375" style="1" customWidth="1"/>
    <col min="10" max="10" width="13.7109375" style="1" customWidth="1"/>
    <col min="11" max="11" width="12" style="1" customWidth="1"/>
    <col min="12" max="12" width="2.85546875" style="1" customWidth="1"/>
    <col min="13" max="16384" width="9.140625" style="1"/>
  </cols>
  <sheetData>
    <row r="2" spans="2:14" ht="26.25" x14ac:dyDescent="0.4">
      <c r="B2" s="2" t="s">
        <v>14</v>
      </c>
    </row>
    <row r="4" spans="2:14" ht="15.75" x14ac:dyDescent="0.25">
      <c r="B4" s="15" t="s">
        <v>15</v>
      </c>
      <c r="E4" s="15" t="s">
        <v>24</v>
      </c>
      <c r="H4" s="15" t="s">
        <v>23</v>
      </c>
    </row>
    <row r="5" spans="2:14" x14ac:dyDescent="0.25">
      <c r="B5" s="36" t="s">
        <v>16</v>
      </c>
      <c r="C5" s="37" t="s">
        <v>17</v>
      </c>
      <c r="E5" s="36" t="s">
        <v>20</v>
      </c>
      <c r="F5" s="37" t="s">
        <v>21</v>
      </c>
      <c r="H5" s="36" t="s">
        <v>18</v>
      </c>
      <c r="I5" s="47" t="s">
        <v>1</v>
      </c>
      <c r="J5" s="47" t="s">
        <v>22</v>
      </c>
      <c r="K5" s="37" t="s">
        <v>19</v>
      </c>
      <c r="M5" s="48" t="s">
        <v>25</v>
      </c>
    </row>
    <row r="6" spans="2:14" x14ac:dyDescent="0.25">
      <c r="B6" s="42">
        <v>0</v>
      </c>
      <c r="C6" s="43">
        <f>SIN(B6)</f>
        <v>0</v>
      </c>
      <c r="E6" s="39">
        <f>(B7-B6)</f>
        <v>1.0471975511965976</v>
      </c>
      <c r="F6" s="38">
        <f>(C7-C6)/E6</f>
        <v>0.82699334313268813</v>
      </c>
      <c r="H6" s="9" t="s">
        <v>7</v>
      </c>
      <c r="I6" s="7">
        <v>2</v>
      </c>
      <c r="J6" s="7">
        <v>0</v>
      </c>
      <c r="K6" s="8">
        <v>0</v>
      </c>
      <c r="M6" s="23">
        <f t="array" ref="M6:M9">tridiagonalsolver(H7:H9,I6:I9,J6:J8,K6:K9)</f>
        <v>0</v>
      </c>
    </row>
    <row r="7" spans="2:14" x14ac:dyDescent="0.25">
      <c r="B7" s="42">
        <f>PI()/3</f>
        <v>1.0471975511965976</v>
      </c>
      <c r="C7" s="43">
        <f>SIN(B7)</f>
        <v>0.8660254037844386</v>
      </c>
      <c r="E7" s="39">
        <f>(B8-B7)</f>
        <v>1.0471975511965976</v>
      </c>
      <c r="F7" s="38">
        <f>(C8-C7)/E7</f>
        <v>1.0601848938211723E-16</v>
      </c>
      <c r="H7" s="6">
        <f>E6/(E6+E7)</f>
        <v>0.5</v>
      </c>
      <c r="I7" s="7">
        <v>2</v>
      </c>
      <c r="J7" s="7">
        <f>E7/(E7+E6)</f>
        <v>0.5</v>
      </c>
      <c r="K7" s="38">
        <f>6/(E6+E7)*(F7-F6)</f>
        <v>-2.3691614123458664</v>
      </c>
      <c r="M7" s="34">
        <v>-0.94766456493834661</v>
      </c>
    </row>
    <row r="8" spans="2:14" x14ac:dyDescent="0.25">
      <c r="B8" s="42">
        <f>2*B7</f>
        <v>2.0943951023931953</v>
      </c>
      <c r="C8" s="43">
        <f>SIN(B8)</f>
        <v>0.86602540378443871</v>
      </c>
      <c r="E8" s="40">
        <f>(B9-B8)</f>
        <v>1.0471975511965979</v>
      </c>
      <c r="F8" s="41">
        <f>(C9-C8)/E8</f>
        <v>-0.82699334313268791</v>
      </c>
      <c r="H8" s="6">
        <f>E7/(E7+E8)</f>
        <v>0.49999999999999989</v>
      </c>
      <c r="I8" s="7">
        <v>2</v>
      </c>
      <c r="J8" s="7">
        <f>E8/(E8+E7)</f>
        <v>0.5</v>
      </c>
      <c r="K8" s="38">
        <f>6/(E7+E8)*(F8-F7)</f>
        <v>-2.369161412345866</v>
      </c>
      <c r="M8" s="34">
        <v>-0.94766456493834639</v>
      </c>
      <c r="N8" s="46"/>
    </row>
    <row r="9" spans="2:14" x14ac:dyDescent="0.25">
      <c r="B9" s="44">
        <f>PI()</f>
        <v>3.1415926535897931</v>
      </c>
      <c r="C9" s="45">
        <f>SIN(B9)</f>
        <v>1.22514845490862E-16</v>
      </c>
      <c r="H9" s="10">
        <v>0</v>
      </c>
      <c r="I9" s="11">
        <v>2</v>
      </c>
      <c r="J9" s="12" t="s">
        <v>7</v>
      </c>
      <c r="K9" s="13">
        <v>0</v>
      </c>
      <c r="M9" s="24">
        <v>0</v>
      </c>
    </row>
    <row r="12" spans="2:14" ht="15.75" x14ac:dyDescent="0.25">
      <c r="B12" s="15" t="s">
        <v>27</v>
      </c>
      <c r="C12" s="15"/>
      <c r="D12" s="15"/>
    </row>
    <row r="13" spans="2:14" x14ac:dyDescent="0.25">
      <c r="B13" s="3" t="s">
        <v>26</v>
      </c>
      <c r="C13" s="4" t="s">
        <v>28</v>
      </c>
      <c r="D13" s="5" t="s">
        <v>29</v>
      </c>
      <c r="E13" s="5" t="s">
        <v>30</v>
      </c>
    </row>
    <row r="14" spans="2:14" x14ac:dyDescent="0.25">
      <c r="B14" s="50">
        <v>-1</v>
      </c>
      <c r="C14" s="51">
        <f t="shared" ref="C14:C33" si="0">SplineInterpolate(B$6:B$9,C$6:C$9,M$6:M$9,B14)</f>
        <v>-0.84156651185625742</v>
      </c>
      <c r="D14" s="49">
        <f>SIN(B14)</f>
        <v>-0.8414709848078965</v>
      </c>
      <c r="E14" s="54">
        <f>D14-C14</f>
        <v>9.5527048360910527E-5</v>
      </c>
    </row>
    <row r="15" spans="2:14" x14ac:dyDescent="0.25">
      <c r="B15" s="39">
        <f>B14+0.25</f>
        <v>-0.75</v>
      </c>
      <c r="C15" s="52">
        <f t="shared" si="0"/>
        <v>-0.68066450104785459</v>
      </c>
      <c r="D15" s="38">
        <f>SIN(B15)</f>
        <v>-0.68163876002333412</v>
      </c>
      <c r="E15" s="55">
        <f t="shared" ref="E15:E33" si="1">D15-C15</f>
        <v>-9.742589754795361E-4</v>
      </c>
    </row>
    <row r="16" spans="2:14" x14ac:dyDescent="0.25">
      <c r="B16" s="39">
        <f t="shared" ref="B16:B33" si="2">B15+0.25</f>
        <v>-0.5</v>
      </c>
      <c r="C16" s="52">
        <f t="shared" si="0"/>
        <v>-0.47734281839174181</v>
      </c>
      <c r="D16" s="38">
        <f>SIN(B16)</f>
        <v>-0.47942553860420301</v>
      </c>
      <c r="E16" s="55">
        <f t="shared" si="1"/>
        <v>-2.0827202124611977E-3</v>
      </c>
    </row>
    <row r="17" spans="2:5" x14ac:dyDescent="0.25">
      <c r="B17" s="39">
        <f t="shared" si="2"/>
        <v>-0.25</v>
      </c>
      <c r="C17" s="52">
        <f t="shared" si="0"/>
        <v>-0.24574135450382256</v>
      </c>
      <c r="D17" s="38">
        <f>SIN(B17)</f>
        <v>-0.24740395925452294</v>
      </c>
      <c r="E17" s="55">
        <f t="shared" si="1"/>
        <v>-1.6626047507003749E-3</v>
      </c>
    </row>
    <row r="18" spans="2:5" x14ac:dyDescent="0.25">
      <c r="B18" s="39">
        <f t="shared" si="2"/>
        <v>0</v>
      </c>
      <c r="C18" s="52">
        <f t="shared" si="0"/>
        <v>0</v>
      </c>
      <c r="D18" s="38">
        <f t="shared" ref="D18:D33" si="3">SIN(B18)</f>
        <v>0</v>
      </c>
      <c r="E18" s="55">
        <f t="shared" si="1"/>
        <v>0</v>
      </c>
    </row>
    <row r="19" spans="2:5" x14ac:dyDescent="0.25">
      <c r="B19" s="39">
        <f t="shared" si="2"/>
        <v>0.25</v>
      </c>
      <c r="C19" s="52">
        <f t="shared" si="0"/>
        <v>0.24574135450382256</v>
      </c>
      <c r="D19" s="38">
        <f t="shared" si="3"/>
        <v>0.24740395925452294</v>
      </c>
      <c r="E19" s="55">
        <f t="shared" si="1"/>
        <v>1.6626047507003749E-3</v>
      </c>
    </row>
    <row r="20" spans="2:5" x14ac:dyDescent="0.25">
      <c r="B20" s="39">
        <f t="shared" si="2"/>
        <v>0.5</v>
      </c>
      <c r="C20" s="52">
        <f t="shared" si="0"/>
        <v>0.47734281839174181</v>
      </c>
      <c r="D20" s="38">
        <f t="shared" si="3"/>
        <v>0.47942553860420301</v>
      </c>
      <c r="E20" s="55">
        <f t="shared" si="1"/>
        <v>2.0827202124611977E-3</v>
      </c>
    </row>
    <row r="21" spans="2:5" x14ac:dyDescent="0.25">
      <c r="B21" s="39">
        <f t="shared" si="2"/>
        <v>0.75</v>
      </c>
      <c r="C21" s="52">
        <f t="shared" si="0"/>
        <v>0.68066450104785459</v>
      </c>
      <c r="D21" s="38">
        <f t="shared" si="3"/>
        <v>0.68163876002333412</v>
      </c>
      <c r="E21" s="55">
        <f t="shared" si="1"/>
        <v>9.742589754795361E-4</v>
      </c>
    </row>
    <row r="22" spans="2:5" x14ac:dyDescent="0.25">
      <c r="B22" s="39">
        <f t="shared" si="2"/>
        <v>1</v>
      </c>
      <c r="C22" s="52">
        <f t="shared" si="0"/>
        <v>0.84156651185625742</v>
      </c>
      <c r="D22" s="38">
        <f t="shared" si="3"/>
        <v>0.8414709848078965</v>
      </c>
      <c r="E22" s="55">
        <f t="shared" si="1"/>
        <v>-9.5527048360910527E-5</v>
      </c>
    </row>
    <row r="23" spans="2:5" x14ac:dyDescent="0.25">
      <c r="B23" s="39">
        <f t="shared" si="2"/>
        <v>1.25</v>
      </c>
      <c r="C23" s="52">
        <f t="shared" si="0"/>
        <v>0.94716699993357722</v>
      </c>
      <c r="D23" s="38">
        <f t="shared" si="3"/>
        <v>0.9489846193555862</v>
      </c>
      <c r="E23" s="55">
        <f t="shared" si="1"/>
        <v>1.8176194220089759E-3</v>
      </c>
    </row>
    <row r="24" spans="2:5" x14ac:dyDescent="0.25">
      <c r="B24" s="39">
        <f t="shared" si="2"/>
        <v>1.5</v>
      </c>
      <c r="C24" s="52">
        <f t="shared" si="0"/>
        <v>0.99355431014573026</v>
      </c>
      <c r="D24" s="38">
        <f t="shared" si="3"/>
        <v>0.99749498660405445</v>
      </c>
      <c r="E24" s="55">
        <f t="shared" si="1"/>
        <v>3.9406764583241882E-3</v>
      </c>
    </row>
    <row r="25" spans="2:5" x14ac:dyDescent="0.25">
      <c r="B25" s="39">
        <f t="shared" si="2"/>
        <v>1.75</v>
      </c>
      <c r="C25" s="52">
        <f t="shared" si="0"/>
        <v>0.98071258504923653</v>
      </c>
      <c r="D25" s="38">
        <f t="shared" si="3"/>
        <v>0.98398594687393692</v>
      </c>
      <c r="E25" s="55">
        <f t="shared" si="1"/>
        <v>3.2733618247003937E-3</v>
      </c>
    </row>
    <row r="26" spans="2:5" x14ac:dyDescent="0.25">
      <c r="B26" s="39">
        <f t="shared" si="2"/>
        <v>2</v>
      </c>
      <c r="C26" s="52">
        <f t="shared" si="0"/>
        <v>0.90864182464409615</v>
      </c>
      <c r="D26" s="38">
        <f t="shared" si="3"/>
        <v>0.90929742682568171</v>
      </c>
      <c r="E26" s="55">
        <f t="shared" si="1"/>
        <v>6.5560218158555728E-4</v>
      </c>
    </row>
    <row r="27" spans="2:5" x14ac:dyDescent="0.25">
      <c r="B27" s="39">
        <f t="shared" si="2"/>
        <v>2.25</v>
      </c>
      <c r="C27" s="52">
        <f t="shared" si="0"/>
        <v>0.77791028562359177</v>
      </c>
      <c r="D27" s="38">
        <f t="shared" si="3"/>
        <v>0.7780731968879212</v>
      </c>
      <c r="E27" s="55">
        <f t="shared" si="1"/>
        <v>1.6291126432943503E-4</v>
      </c>
    </row>
    <row r="28" spans="2:5" x14ac:dyDescent="0.25">
      <c r="B28" s="39">
        <f t="shared" si="2"/>
        <v>2.5</v>
      </c>
      <c r="C28" s="52">
        <f t="shared" si="0"/>
        <v>0.59687751576811587</v>
      </c>
      <c r="D28" s="38">
        <f t="shared" si="3"/>
        <v>0.59847214410395655</v>
      </c>
      <c r="E28" s="55">
        <f t="shared" si="1"/>
        <v>1.5946283358406754E-3</v>
      </c>
    </row>
    <row r="29" spans="2:5" x14ac:dyDescent="0.25">
      <c r="B29" s="39">
        <f t="shared" si="2"/>
        <v>2.75</v>
      </c>
      <c r="C29" s="52">
        <f t="shared" si="0"/>
        <v>0.37955654614573275</v>
      </c>
      <c r="D29" s="38">
        <f t="shared" si="3"/>
        <v>0.38166099205233167</v>
      </c>
      <c r="E29" s="55">
        <f t="shared" si="1"/>
        <v>2.1044459065989174E-3</v>
      </c>
    </row>
    <row r="30" spans="2:5" x14ac:dyDescent="0.25">
      <c r="B30" s="39">
        <f t="shared" si="2"/>
        <v>3</v>
      </c>
      <c r="C30" s="52">
        <f t="shared" si="0"/>
        <v>0.14008726737234575</v>
      </c>
      <c r="D30" s="38">
        <f t="shared" si="3"/>
        <v>0.14112000805986721</v>
      </c>
      <c r="E30" s="55">
        <f t="shared" si="1"/>
        <v>1.0327406875214606E-3</v>
      </c>
    </row>
    <row r="31" spans="2:5" x14ac:dyDescent="0.25">
      <c r="B31" s="39">
        <f t="shared" si="2"/>
        <v>3.25</v>
      </c>
      <c r="C31" s="52">
        <f t="shared" si="0"/>
        <v>-0.1073904299361419</v>
      </c>
      <c r="D31" s="38">
        <f t="shared" si="3"/>
        <v>-0.10819513453010837</v>
      </c>
      <c r="E31" s="55">
        <f t="shared" si="1"/>
        <v>-8.0470459396647653E-4</v>
      </c>
    </row>
    <row r="32" spans="2:5" x14ac:dyDescent="0.25">
      <c r="B32" s="39">
        <f t="shared" si="2"/>
        <v>3.5</v>
      </c>
      <c r="C32" s="52">
        <f t="shared" si="0"/>
        <v>-0.3487366551638269</v>
      </c>
      <c r="D32" s="38">
        <f t="shared" si="3"/>
        <v>-0.35078322768961984</v>
      </c>
      <c r="E32" s="55">
        <f t="shared" si="1"/>
        <v>-2.0465725257929335E-3</v>
      </c>
    </row>
    <row r="33" spans="2:5" x14ac:dyDescent="0.25">
      <c r="B33" s="40">
        <f t="shared" si="2"/>
        <v>3.75</v>
      </c>
      <c r="C33" s="53">
        <f t="shared" si="0"/>
        <v>-0.56981151769480598</v>
      </c>
      <c r="D33" s="41">
        <f t="shared" si="3"/>
        <v>-0.57156131874234373</v>
      </c>
      <c r="E33" s="56">
        <f t="shared" si="1"/>
        <v>-1.7498010475377468E-3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Tridiagonal Solver</vt:lpstr>
      <vt:lpstr>SplineInterpolation</vt:lpstr>
      <vt:lpstr>Max_x</vt:lpstr>
      <vt:lpstr>Min_x</vt:lpstr>
      <vt:lpstr>Steps</vt:lpstr>
      <vt:lpstr>StepSize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2012-10-25T10:10:15Z</dcterms:created>
  <dcterms:modified xsi:type="dcterms:W3CDTF">2013-02-15T12:30:13Z</dcterms:modified>
</cp:coreProperties>
</file>