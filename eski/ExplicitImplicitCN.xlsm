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berk\Documents\Visual Studio 2017\source\repos\voerch\Diss\Codes\"/>
    </mc:Choice>
  </mc:AlternateContent>
  <xr:revisionPtr revIDLastSave="0" documentId="13_ncr:1_{8DD94B0D-1172-43EC-A171-BFDE3C389352}" xr6:coauthVersionLast="43" xr6:coauthVersionMax="43" xr10:uidLastSave="{00000000-0000-0000-0000-000000000000}"/>
  <bookViews>
    <workbookView xWindow="-120" yWindow="-120" windowWidth="20730" windowHeight="11310" activeTab="1" xr2:uid="{6A69414C-DCF0-4C14-99F2-1C6AA740938B}"/>
  </bookViews>
  <sheets>
    <sheet name="Sheet1" sheetId="1" r:id="rId1"/>
    <sheet name="BS" sheetId="2" r:id="rId2"/>
  </sheets>
  <definedNames>
    <definedName name="Flag">BS!$C$13</definedName>
    <definedName name="InterestRate">BS!$C$6</definedName>
    <definedName name="LowSpot">BS!$C$17</definedName>
    <definedName name="Notional">BS!$C$11</definedName>
    <definedName name="Spot">BS!$C$5</definedName>
    <definedName name="Strike">BS!$C$10</definedName>
    <definedName name="tSteps">BS!$C$19</definedName>
    <definedName name="UpSpot">BS!$C$16</definedName>
    <definedName name="Volatility">BS!$C$7</definedName>
    <definedName name="xSteps">BS!$C$18</definedName>
    <definedName name="YearsToExpiry">BS!$C$12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2" l="1"/>
  <c r="G5" i="2" s="1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N5" i="2" s="1"/>
  <c r="AO5" i="2" s="1"/>
  <c r="AP5" i="2" s="1"/>
  <c r="AQ5" i="2" s="1"/>
  <c r="AR5" i="2" s="1"/>
  <c r="AS5" i="2" s="1"/>
  <c r="AT5" i="2" s="1"/>
  <c r="AU5" i="2" s="1"/>
  <c r="AV5" i="2" s="1"/>
  <c r="AW5" i="2" s="1"/>
  <c r="AX5" i="2" s="1"/>
  <c r="AY5" i="2" s="1"/>
  <c r="AZ5" i="2" s="1"/>
  <c r="BA5" i="2" s="1"/>
  <c r="BB5" i="2" s="1"/>
  <c r="BC5" i="2" s="1"/>
  <c r="BD5" i="2" s="1"/>
  <c r="BE5" i="2" s="1"/>
  <c r="BF5" i="2" s="1"/>
  <c r="BG5" i="2" s="1"/>
  <c r="BH5" i="2" s="1"/>
  <c r="BI5" i="2" s="1"/>
  <c r="BJ5" i="2" s="1"/>
  <c r="BK5" i="2" s="1"/>
  <c r="BL5" i="2" s="1"/>
  <c r="BM5" i="2" s="1"/>
  <c r="BN5" i="2" s="1"/>
  <c r="BO5" i="2" s="1"/>
  <c r="BP5" i="2" s="1"/>
  <c r="BQ5" i="2" s="1"/>
  <c r="BR5" i="2" s="1"/>
  <c r="BS5" i="2" s="1"/>
  <c r="BT5" i="2" s="1"/>
  <c r="BU5" i="2" s="1"/>
  <c r="BV5" i="2" s="1"/>
  <c r="BW5" i="2" s="1"/>
  <c r="BX5" i="2" s="1"/>
  <c r="BY5" i="2" s="1"/>
  <c r="BZ5" i="2" s="1"/>
  <c r="CA5" i="2" s="1"/>
  <c r="CB5" i="2" s="1"/>
  <c r="CC5" i="2" s="1"/>
  <c r="CD5" i="2" s="1"/>
  <c r="CE5" i="2" s="1"/>
  <c r="CF5" i="2" s="1"/>
  <c r="CG5" i="2" s="1"/>
  <c r="CH5" i="2" s="1"/>
  <c r="CI5" i="2" s="1"/>
  <c r="CJ5" i="2" s="1"/>
  <c r="CK5" i="2" s="1"/>
  <c r="CL5" i="2" s="1"/>
  <c r="CM5" i="2" s="1"/>
  <c r="CN5" i="2" s="1"/>
  <c r="CO5" i="2" s="1"/>
  <c r="CP5" i="2" s="1"/>
  <c r="CQ5" i="2" s="1"/>
  <c r="CR5" i="2" s="1"/>
  <c r="CS5" i="2" s="1"/>
  <c r="CT5" i="2" s="1"/>
  <c r="CU5" i="2" s="1"/>
  <c r="CV5" i="2" s="1"/>
  <c r="CW5" i="2" s="1"/>
  <c r="CX5" i="2" s="1"/>
  <c r="CY5" i="2" s="1"/>
  <c r="CZ5" i="2" s="1"/>
  <c r="DA5" i="2" s="1"/>
  <c r="DB5" i="2" s="1"/>
  <c r="E7" i="2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C13" i="1" l="1"/>
  <c r="C5" i="1"/>
  <c r="F5" i="1"/>
  <c r="F6" i="1"/>
  <c r="F7" i="1"/>
  <c r="F8" i="1"/>
  <c r="F13" i="1"/>
  <c r="F14" i="1"/>
  <c r="F15" i="1"/>
  <c r="F16" i="1"/>
  <c r="O10" i="1"/>
  <c r="C14" i="1"/>
  <c r="O7" i="1"/>
  <c r="C6" i="1"/>
  <c r="G10" i="1" s="1"/>
  <c r="J18" i="1" l="1"/>
  <c r="J16" i="1" s="1"/>
  <c r="I18" i="1"/>
  <c r="G18" i="1"/>
  <c r="K18" i="1"/>
  <c r="H18" i="1"/>
  <c r="H16" i="1" s="1"/>
  <c r="I16" i="1"/>
  <c r="I10" i="1"/>
  <c r="I8" i="1" s="1"/>
  <c r="G8" i="1"/>
  <c r="H10" i="1"/>
  <c r="H8" i="1" s="1"/>
  <c r="G16" i="1"/>
  <c r="J15" i="1" l="1"/>
  <c r="H15" i="1"/>
  <c r="I15" i="1"/>
  <c r="H7" i="1"/>
  <c r="J14" i="1" l="1"/>
  <c r="H14" i="1"/>
  <c r="I14" i="1"/>
  <c r="J13" i="1" s="1"/>
  <c r="H6" i="1"/>
  <c r="H5" i="1" s="1"/>
  <c r="H13" i="1" l="1"/>
  <c r="I13" i="1"/>
</calcChain>
</file>

<file path=xl/sharedStrings.xml><?xml version="1.0" encoding="utf-8"?>
<sst xmlns="http://schemas.openxmlformats.org/spreadsheetml/2006/main" count="55" uniqueCount="39">
  <si>
    <t>DeltaT</t>
  </si>
  <si>
    <t>DeltaX</t>
  </si>
  <si>
    <t>Explicit Scheme (Forward Time Central Space)</t>
  </si>
  <si>
    <t>Heat Equation</t>
  </si>
  <si>
    <t>r</t>
  </si>
  <si>
    <t>J</t>
  </si>
  <si>
    <t>Analytical Solution</t>
  </si>
  <si>
    <t>t</t>
  </si>
  <si>
    <t>x</t>
  </si>
  <si>
    <t>PI</t>
  </si>
  <si>
    <t>t0</t>
  </si>
  <si>
    <t>t1</t>
  </si>
  <si>
    <t>t2</t>
  </si>
  <si>
    <t>t3</t>
  </si>
  <si>
    <t>n=0</t>
  </si>
  <si>
    <t>n=3</t>
  </si>
  <si>
    <t>n=2</t>
  </si>
  <si>
    <t>n=1</t>
  </si>
  <si>
    <t>IC</t>
  </si>
  <si>
    <t>BC</t>
  </si>
  <si>
    <t>u(x,0) = sin(pi * x)</t>
  </si>
  <si>
    <t>u(1,t) = u(0,t) = 0</t>
  </si>
  <si>
    <t>Market Data</t>
  </si>
  <si>
    <t>Spot</t>
  </si>
  <si>
    <t>Interest Rate</t>
  </si>
  <si>
    <t>Volatility</t>
  </si>
  <si>
    <t>Trade Data</t>
  </si>
  <si>
    <t>Strike</t>
  </si>
  <si>
    <t>Notional</t>
  </si>
  <si>
    <t>Years to Expiry</t>
  </si>
  <si>
    <t>PDE Grid Data</t>
  </si>
  <si>
    <t>Upper Spot</t>
  </si>
  <si>
    <t>Lower Spot</t>
  </si>
  <si>
    <t>Number of x steps</t>
  </si>
  <si>
    <t>Number of t steps</t>
  </si>
  <si>
    <t>BS PDE Solver</t>
  </si>
  <si>
    <t>Results</t>
  </si>
  <si>
    <t>Call Put Flag</t>
  </si>
  <si>
    <t>Time/Spot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</si>
</sst>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6" formatCode="0.000"/>
  </numFmts>
  <fonts count="4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22"/>
      <color theme="1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3" borderId="1" xfId="0" applyFont="1" applyFill="1" applyBorder="1"/>
    <xf numFmtId="0" fontId="0" fillId="3" borderId="2" xfId="0" applyFill="1" applyBorder="1"/>
    <xf numFmtId="0" fontId="1" fillId="3" borderId="3" xfId="0" applyFont="1" applyFill="1" applyBorder="1"/>
    <xf numFmtId="0" fontId="0" fillId="3" borderId="4" xfId="0" applyFill="1" applyBorder="1"/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7" xfId="0" applyFill="1" applyBorder="1"/>
    <xf numFmtId="0" fontId="1" fillId="3" borderId="6" xfId="0" applyFont="1" applyFill="1" applyBorder="1"/>
    <xf numFmtId="164" fontId="0" fillId="3" borderId="5" xfId="0" applyNumberFormat="1" applyFill="1" applyBorder="1" applyAlignment="1">
      <alignment horizontal="center" vertical="center"/>
    </xf>
    <xf numFmtId="164" fontId="0" fillId="3" borderId="0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4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2" fontId="0" fillId="3" borderId="4" xfId="0" applyNumberFormat="1" applyFill="1" applyBorder="1"/>
    <xf numFmtId="0" fontId="1" fillId="4" borderId="6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0" fillId="5" borderId="0" xfId="0" applyFill="1"/>
    <xf numFmtId="0" fontId="1" fillId="5" borderId="0" xfId="0" applyFont="1" applyFill="1"/>
    <xf numFmtId="0" fontId="0" fillId="3" borderId="1" xfId="0" applyFill="1" applyBorder="1"/>
    <xf numFmtId="0" fontId="0" fillId="3" borderId="6" xfId="0" applyFill="1" applyBorder="1"/>
    <xf numFmtId="0" fontId="0" fillId="3" borderId="3" xfId="0" applyFill="1" applyBorder="1"/>
    <xf numFmtId="0" fontId="3" fillId="5" borderId="0" xfId="0" applyFont="1" applyFill="1" applyAlignment="1">
      <alignment horizontal="left" vertical="center"/>
    </xf>
    <xf numFmtId="2" fontId="0" fillId="5" borderId="0" xfId="0" applyNumberFormat="1" applyFill="1"/>
    <xf numFmtId="0" fontId="0" fillId="3" borderId="5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2" fontId="0" fillId="3" borderId="4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3" borderId="12" xfId="0" applyFill="1" applyBorder="1"/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166" fontId="0" fillId="3" borderId="9" xfId="0" applyNumberFormat="1" applyFill="1" applyBorder="1" applyAlignment="1">
      <alignment horizontal="center" vertical="center"/>
    </xf>
    <xf numFmtId="166" fontId="0" fillId="3" borderId="10" xfId="0" applyNumberFormat="1" applyFill="1" applyBorder="1" applyAlignment="1">
      <alignment horizontal="center" vertical="center"/>
    </xf>
    <xf numFmtId="166" fontId="0" fillId="3" borderId="1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76199</xdr:colOff>
      <xdr:row>2</xdr:row>
      <xdr:rowOff>133350</xdr:rowOff>
    </xdr:from>
    <xdr:to>
      <xdr:col>0</xdr:col>
      <xdr:colOff>1111684</xdr:colOff>
      <xdr:row>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DE084F-BB8E-4E8A-A77F-910978404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199" y="514350"/>
          <a:ext cx="1035485" cy="590550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19</xdr:row>
      <xdr:rowOff>9525</xdr:rowOff>
    </xdr:from>
    <xdr:to>
      <xdr:col>10</xdr:col>
      <xdr:colOff>95743</xdr:colOff>
      <xdr:row>21</xdr:row>
      <xdr:rowOff>171526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200E3B-4FF1-481D-AA2C-1717FF683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0" y="3629025"/>
          <a:ext cx="3534268" cy="543001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</xdr:colOff>
      <xdr:row>4</xdr:row>
      <xdr:rowOff>76200</xdr:rowOff>
    </xdr:from>
    <xdr:to>
      <xdr:col>14</xdr:col>
      <xdr:colOff>771525</xdr:colOff>
      <xdr:row>5</xdr:row>
      <xdr:rowOff>140413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F55374F-F073-4B2E-B193-AA78E4860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58350" y="838200"/>
          <a:ext cx="2000250" cy="2547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B638C-DAC6-4E1B-A977-40B0D8C18BBD}">
  <sheetPr codeName="Sheet1"/>
  <dimension ref="A1:S18"/>
  <sheetViews>
    <sheetView workbookViewId="0">
      <selection activeCell="F9" sqref="F9"/>
    </sheetView>
  </sheetViews>
  <sheetFormatPr defaultRowHeight="15" x14ac:dyDescent="0.25"/>
  <cols>
    <col min="1" max="1" width="22.5703125" style="1" customWidth="1"/>
    <col min="2" max="5" width="9.140625" style="1"/>
    <col min="6" max="6" width="10.7109375" style="1" customWidth="1"/>
    <col min="7" max="7" width="15.85546875" style="1" customWidth="1"/>
    <col min="8" max="10" width="9.5703125" style="1" bestFit="1" customWidth="1"/>
    <col min="11" max="11" width="9" style="1" customWidth="1"/>
    <col min="12" max="12" width="12" style="1" bestFit="1" customWidth="1"/>
    <col min="13" max="13" width="9.140625" style="1"/>
    <col min="14" max="14" width="18.7109375" style="1" customWidth="1"/>
    <col min="15" max="15" width="12" style="1" bestFit="1" customWidth="1"/>
    <col min="16" max="16384" width="9.140625" style="1"/>
  </cols>
  <sheetData>
    <row r="1" spans="1:15" x14ac:dyDescent="0.25">
      <c r="A1" s="2" t="s">
        <v>2</v>
      </c>
    </row>
    <row r="2" spans="1:15" x14ac:dyDescent="0.25">
      <c r="A2" s="1" t="s">
        <v>3</v>
      </c>
      <c r="F2" s="25" t="s">
        <v>18</v>
      </c>
      <c r="G2" s="7" t="s">
        <v>20</v>
      </c>
      <c r="H2" s="27"/>
    </row>
    <row r="3" spans="1:15" x14ac:dyDescent="0.25">
      <c r="F3" s="26" t="s">
        <v>19</v>
      </c>
      <c r="G3" s="8" t="s">
        <v>21</v>
      </c>
      <c r="H3" s="27"/>
    </row>
    <row r="5" spans="1:15" x14ac:dyDescent="0.25">
      <c r="B5" s="3" t="s">
        <v>0</v>
      </c>
      <c r="C5" s="4">
        <f>+C8*C6*C6</f>
        <v>0.1</v>
      </c>
      <c r="E5" s="17" t="s">
        <v>13</v>
      </c>
      <c r="F5" s="14">
        <f>+$C$5*3</f>
        <v>0.30000000000000004</v>
      </c>
      <c r="G5" s="33">
        <v>0</v>
      </c>
      <c r="H5" s="33">
        <f>+($C$8*G6)+(1-2*$C$8)*H6+C6*I6</f>
        <v>7.9999999999999967E-3</v>
      </c>
      <c r="I5" s="34">
        <v>0</v>
      </c>
      <c r="J5" s="19" t="s">
        <v>15</v>
      </c>
    </row>
    <row r="6" spans="1:15" x14ac:dyDescent="0.25">
      <c r="B6" s="5" t="s">
        <v>1</v>
      </c>
      <c r="C6" s="6">
        <f>1/C9</f>
        <v>0.5</v>
      </c>
      <c r="E6" s="29" t="s">
        <v>12</v>
      </c>
      <c r="F6" s="30">
        <f>+$C$5*2</f>
        <v>0.2</v>
      </c>
      <c r="G6" s="35">
        <v>0</v>
      </c>
      <c r="H6" s="35">
        <f>+($C$8*G7)+(1-2*$C$8)*H7+C7*I7</f>
        <v>3.9999999999999994E-2</v>
      </c>
      <c r="I6" s="36">
        <v>0</v>
      </c>
      <c r="J6" s="20" t="s">
        <v>16</v>
      </c>
    </row>
    <row r="7" spans="1:15" x14ac:dyDescent="0.25">
      <c r="E7" s="29" t="s">
        <v>11</v>
      </c>
      <c r="F7" s="30">
        <f>+$C$5*1</f>
        <v>0.1</v>
      </c>
      <c r="G7" s="35">
        <v>0</v>
      </c>
      <c r="H7" s="35">
        <f>+($C$8*G8)+(1-2*$C$8)*H8+C8*I8</f>
        <v>0.2</v>
      </c>
      <c r="I7" s="36">
        <v>0</v>
      </c>
      <c r="J7" s="20" t="s">
        <v>17</v>
      </c>
      <c r="N7" s="3" t="s">
        <v>9</v>
      </c>
      <c r="O7" s="4">
        <f>+PI()</f>
        <v>3.1415926535897931</v>
      </c>
    </row>
    <row r="8" spans="1:15" x14ac:dyDescent="0.25">
      <c r="B8" s="3" t="s">
        <v>4</v>
      </c>
      <c r="C8" s="4">
        <v>0.4</v>
      </c>
      <c r="E8" s="18" t="s">
        <v>10</v>
      </c>
      <c r="F8" s="31">
        <f>+$C$5*0</f>
        <v>0</v>
      </c>
      <c r="G8" s="37">
        <f>+SIN($O$7*G10)</f>
        <v>0</v>
      </c>
      <c r="H8" s="37">
        <f>+SIN($O$7*H10)</f>
        <v>1</v>
      </c>
      <c r="I8" s="32">
        <f>+SIN($O$7*I10)</f>
        <v>1.22514845490862E-16</v>
      </c>
      <c r="J8" s="24" t="s">
        <v>14</v>
      </c>
      <c r="N8" s="10" t="s">
        <v>7</v>
      </c>
      <c r="O8" s="9">
        <v>7.4999999999999997E-2</v>
      </c>
    </row>
    <row r="9" spans="1:15" x14ac:dyDescent="0.25">
      <c r="B9" s="5" t="s">
        <v>5</v>
      </c>
      <c r="C9" s="6">
        <v>2</v>
      </c>
      <c r="F9" s="29" t="s">
        <v>5</v>
      </c>
      <c r="G9" s="13">
        <v>0</v>
      </c>
      <c r="H9" s="13">
        <v>1</v>
      </c>
      <c r="I9" s="14">
        <v>2</v>
      </c>
      <c r="N9" s="10" t="s">
        <v>8</v>
      </c>
      <c r="O9" s="9">
        <v>0.5</v>
      </c>
    </row>
    <row r="10" spans="1:15" x14ac:dyDescent="0.25">
      <c r="F10" s="18" t="s">
        <v>8</v>
      </c>
      <c r="G10" s="15">
        <f>+G9*$C$6</f>
        <v>0</v>
      </c>
      <c r="H10" s="15">
        <f t="shared" ref="H10:I10" si="0">+H9*$C$6</f>
        <v>0.5</v>
      </c>
      <c r="I10" s="16">
        <f t="shared" si="0"/>
        <v>1</v>
      </c>
      <c r="N10" s="5" t="s">
        <v>6</v>
      </c>
      <c r="O10" s="28">
        <f>EXP(-O8*(O7^2))*SIN(O7*O9)</f>
        <v>0.47700880455302586</v>
      </c>
    </row>
    <row r="13" spans="1:15" x14ac:dyDescent="0.25">
      <c r="B13" s="3" t="s">
        <v>0</v>
      </c>
      <c r="C13" s="4">
        <f>+C16*C14*C14</f>
        <v>2.5000000000000001E-2</v>
      </c>
      <c r="E13" s="17" t="s">
        <v>13</v>
      </c>
      <c r="F13" s="14">
        <f>+$C$13*3</f>
        <v>7.5000000000000011E-2</v>
      </c>
      <c r="G13" s="33">
        <v>0</v>
      </c>
      <c r="H13" s="11">
        <f t="shared" ref="H13:H14" si="1">+($C$16*G14)+(1-2*$C$16)*H14+$C$16*I14</f>
        <v>0.31742135623730949</v>
      </c>
      <c r="I13" s="11">
        <f t="shared" ref="I13:I14" si="2">+($C$16*H14)+(1-2*$C$16)*I14+$C$16*J14</f>
        <v>0.44890158697766469</v>
      </c>
      <c r="J13" s="11">
        <f t="shared" ref="J13:J14" si="3">+($C$16*I14)+(1-2*$C$16)*J14+$C$16*K14</f>
        <v>0.31742135623730949</v>
      </c>
      <c r="K13" s="38">
        <v>0</v>
      </c>
      <c r="L13" s="21" t="s">
        <v>15</v>
      </c>
    </row>
    <row r="14" spans="1:15" x14ac:dyDescent="0.25">
      <c r="B14" s="5" t="s">
        <v>1</v>
      </c>
      <c r="C14" s="6">
        <f>1/C17</f>
        <v>0.25</v>
      </c>
      <c r="E14" s="29" t="s">
        <v>12</v>
      </c>
      <c r="F14" s="30">
        <f>+$C$13*2</f>
        <v>0.05</v>
      </c>
      <c r="G14" s="35">
        <v>0</v>
      </c>
      <c r="H14" s="12">
        <f t="shared" si="1"/>
        <v>0.41455844122715707</v>
      </c>
      <c r="I14" s="12">
        <f t="shared" si="2"/>
        <v>0.58627416997969517</v>
      </c>
      <c r="J14" s="12">
        <f t="shared" si="3"/>
        <v>0.41455844122715707</v>
      </c>
      <c r="K14" s="39">
        <v>0</v>
      </c>
      <c r="L14" s="22" t="s">
        <v>16</v>
      </c>
    </row>
    <row r="15" spans="1:15" x14ac:dyDescent="0.25">
      <c r="E15" s="29" t="s">
        <v>11</v>
      </c>
      <c r="F15" s="30">
        <f>+$C$13*1</f>
        <v>2.5000000000000001E-2</v>
      </c>
      <c r="G15" s="35">
        <v>0</v>
      </c>
      <c r="H15" s="12">
        <f>+($C$16*G16)+(1-2*$C$16)*H16+$C$16*I16</f>
        <v>0.54142135623730947</v>
      </c>
      <c r="I15" s="12">
        <f t="shared" ref="I15:J15" si="4">+($C$16*H16)+(1-2*$C$16)*I16+$C$16*J16</f>
        <v>0.76568542494923797</v>
      </c>
      <c r="J15" s="12">
        <f t="shared" si="4"/>
        <v>0.54142135623730947</v>
      </c>
      <c r="K15" s="39">
        <v>0</v>
      </c>
      <c r="L15" s="22" t="s">
        <v>17</v>
      </c>
    </row>
    <row r="16" spans="1:15" x14ac:dyDescent="0.25">
      <c r="B16" s="3" t="s">
        <v>4</v>
      </c>
      <c r="C16" s="4">
        <v>0.4</v>
      </c>
      <c r="E16" s="18" t="s">
        <v>10</v>
      </c>
      <c r="F16" s="31">
        <f>+$C$13*0</f>
        <v>0</v>
      </c>
      <c r="G16" s="35">
        <f>+SIN($O$7*G18)</f>
        <v>0</v>
      </c>
      <c r="H16" s="12">
        <f>+SIN($O$7*H18)</f>
        <v>0.70710678118654746</v>
      </c>
      <c r="I16" s="12">
        <f>+SIN($O$7*I18)</f>
        <v>1</v>
      </c>
      <c r="J16" s="12">
        <f>+SIN($O$7*J18)</f>
        <v>0.70710678118654757</v>
      </c>
      <c r="K16" s="36">
        <v>0</v>
      </c>
      <c r="L16" s="23" t="s">
        <v>14</v>
      </c>
    </row>
    <row r="17" spans="2:19" x14ac:dyDescent="0.25">
      <c r="B17" s="5" t="s">
        <v>5</v>
      </c>
      <c r="C17" s="6">
        <v>4</v>
      </c>
      <c r="F17" s="29" t="s">
        <v>5</v>
      </c>
      <c r="G17" s="13">
        <v>0</v>
      </c>
      <c r="H17" s="13">
        <v>1</v>
      </c>
      <c r="I17" s="13">
        <v>2</v>
      </c>
      <c r="J17" s="13">
        <v>3</v>
      </c>
      <c r="K17" s="14">
        <v>4</v>
      </c>
      <c r="S17" s="1">
        <v>0</v>
      </c>
    </row>
    <row r="18" spans="2:19" x14ac:dyDescent="0.25">
      <c r="F18" s="18" t="s">
        <v>8</v>
      </c>
      <c r="G18" s="15">
        <f>+G17*$C$14</f>
        <v>0</v>
      </c>
      <c r="H18" s="15">
        <f>+H17*$C$14</f>
        <v>0.25</v>
      </c>
      <c r="I18" s="15">
        <f>+I17*$C$14</f>
        <v>0.5</v>
      </c>
      <c r="J18" s="15">
        <f>+J17*$C$14</f>
        <v>0.75</v>
      </c>
      <c r="K18" s="16">
        <f>+K17*$C$14</f>
        <v>1</v>
      </c>
      <c r="S18" s="1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580F-C124-4CCD-BC54-16F18A405747}">
  <sheetPr codeName="Sheet2"/>
  <dimension ref="B1:DK106"/>
  <sheetViews>
    <sheetView tabSelected="1" workbookViewId="0">
      <selection activeCell="G10" sqref="G10"/>
    </sheetView>
  </sheetViews>
  <sheetFormatPr defaultRowHeight="15" x14ac:dyDescent="0.25"/>
  <cols>
    <col min="1" max="1" width="2.28515625" style="40" customWidth="1"/>
    <col min="2" max="2" width="17.42578125" style="40" bestFit="1" customWidth="1"/>
    <col min="3" max="3" width="11.28515625" style="40" customWidth="1"/>
    <col min="4" max="4" width="9.140625" style="40"/>
    <col min="5" max="5" width="10.28515625" style="40" bestFit="1" customWidth="1"/>
    <col min="6" max="16384" width="9.140625" style="40"/>
  </cols>
  <sheetData>
    <row r="1" spans="2:115" x14ac:dyDescent="0.25">
      <c r="B1" s="45" t="s">
        <v>35</v>
      </c>
      <c r="C1" s="45"/>
      <c r="D1" s="45"/>
    </row>
    <row r="2" spans="2:115" x14ac:dyDescent="0.25">
      <c r="B2" s="45"/>
      <c r="C2" s="45"/>
      <c r="D2" s="45"/>
    </row>
    <row r="4" spans="2:115" x14ac:dyDescent="0.25">
      <c r="B4" s="41" t="s">
        <v>22</v>
      </c>
      <c r="E4" s="41" t="s">
        <v>36</v>
      </c>
    </row>
    <row r="5" spans="2:115" x14ac:dyDescent="0.25">
      <c r="B5" s="51" t="s">
        <v>23</v>
      </c>
      <c r="C5" s="38">
        <v>1</v>
      </c>
      <c r="E5" s="56" t="s">
        <v>38</v>
      </c>
      <c r="F5" s="57">
        <f>+LowSpot</f>
        <v>0.33</v>
      </c>
      <c r="G5" s="57">
        <f>+F5+($C$16-$C$17)/$C$18</f>
        <v>0.35670000000000002</v>
      </c>
      <c r="H5" s="57">
        <f>+G5+($C$16-$C$17)/$C$18</f>
        <v>0.38340000000000002</v>
      </c>
      <c r="I5" s="57">
        <f>+H5+($C$16-$C$17)/$C$18</f>
        <v>0.41010000000000002</v>
      </c>
      <c r="J5" s="57">
        <f>+I5+($C$16-$C$17)/$C$18</f>
        <v>0.43680000000000002</v>
      </c>
      <c r="K5" s="57">
        <f>+J5+($C$16-$C$17)/$C$18</f>
        <v>0.46350000000000002</v>
      </c>
      <c r="L5" s="57">
        <f>+K5+($C$16-$C$17)/$C$18</f>
        <v>0.49020000000000002</v>
      </c>
      <c r="M5" s="57">
        <f>+L5+($C$16-$C$17)/$C$18</f>
        <v>0.51690000000000003</v>
      </c>
      <c r="N5" s="57">
        <f>+M5+($C$16-$C$17)/$C$18</f>
        <v>0.54359999999999997</v>
      </c>
      <c r="O5" s="57">
        <f>+N5+($C$16-$C$17)/$C$18</f>
        <v>0.57029999999999992</v>
      </c>
      <c r="P5" s="57">
        <f>+O5+($C$16-$C$17)/$C$18</f>
        <v>0.59699999999999986</v>
      </c>
      <c r="Q5" s="57">
        <f>+P5+($C$16-$C$17)/$C$18</f>
        <v>0.62369999999999981</v>
      </c>
      <c r="R5" s="57">
        <f>+Q5+($C$16-$C$17)/$C$18</f>
        <v>0.65039999999999976</v>
      </c>
      <c r="S5" s="57">
        <f>+R5+($C$16-$C$17)/$C$18</f>
        <v>0.6770999999999997</v>
      </c>
      <c r="T5" s="57">
        <f>+S5+($C$16-$C$17)/$C$18</f>
        <v>0.70379999999999965</v>
      </c>
      <c r="U5" s="57">
        <f>+T5+($C$16-$C$17)/$C$18</f>
        <v>0.73049999999999959</v>
      </c>
      <c r="V5" s="57">
        <f>+U5+($C$16-$C$17)/$C$18</f>
        <v>0.75719999999999954</v>
      </c>
      <c r="W5" s="57">
        <f>+V5+($C$16-$C$17)/$C$18</f>
        <v>0.78389999999999949</v>
      </c>
      <c r="X5" s="57">
        <f>+W5+($C$16-$C$17)/$C$18</f>
        <v>0.81059999999999943</v>
      </c>
      <c r="Y5" s="57">
        <f>+X5+($C$16-$C$17)/$C$18</f>
        <v>0.83729999999999938</v>
      </c>
      <c r="Z5" s="57">
        <f>+Y5+($C$16-$C$17)/$C$18</f>
        <v>0.86399999999999932</v>
      </c>
      <c r="AA5" s="57">
        <f>+Z5+($C$16-$C$17)/$C$18</f>
        <v>0.89069999999999927</v>
      </c>
      <c r="AB5" s="57">
        <f>+AA5+($C$16-$C$17)/$C$18</f>
        <v>0.91739999999999922</v>
      </c>
      <c r="AC5" s="57">
        <f>+AB5+($C$16-$C$17)/$C$18</f>
        <v>0.94409999999999916</v>
      </c>
      <c r="AD5" s="57">
        <f>+AC5+($C$16-$C$17)/$C$18</f>
        <v>0.97079999999999911</v>
      </c>
      <c r="AE5" s="57">
        <f>+AD5+($C$16-$C$17)/$C$18</f>
        <v>0.99749999999999905</v>
      </c>
      <c r="AF5" s="57">
        <f>+AE5+($C$16-$C$17)/$C$18</f>
        <v>1.0241999999999991</v>
      </c>
      <c r="AG5" s="57">
        <f>+AF5+($C$16-$C$17)/$C$18</f>
        <v>1.0508999999999991</v>
      </c>
      <c r="AH5" s="57">
        <f>+AG5+($C$16-$C$17)/$C$18</f>
        <v>1.077599999999999</v>
      </c>
      <c r="AI5" s="57">
        <f>+AH5+($C$16-$C$17)/$C$18</f>
        <v>1.1042999999999989</v>
      </c>
      <c r="AJ5" s="57">
        <f>+AI5+($C$16-$C$17)/$C$18</f>
        <v>1.1309999999999989</v>
      </c>
      <c r="AK5" s="57">
        <f>+AJ5+($C$16-$C$17)/$C$18</f>
        <v>1.1576999999999988</v>
      </c>
      <c r="AL5" s="57">
        <f>+AK5+($C$16-$C$17)/$C$18</f>
        <v>1.1843999999999988</v>
      </c>
      <c r="AM5" s="57">
        <f>+AL5+($C$16-$C$17)/$C$18</f>
        <v>1.2110999999999987</v>
      </c>
      <c r="AN5" s="57">
        <f>+AM5+($C$16-$C$17)/$C$18</f>
        <v>1.2377999999999987</v>
      </c>
      <c r="AO5" s="57">
        <f>+AN5+($C$16-$C$17)/$C$18</f>
        <v>1.2644999999999986</v>
      </c>
      <c r="AP5" s="57">
        <f>+AO5+($C$16-$C$17)/$C$18</f>
        <v>1.2911999999999986</v>
      </c>
      <c r="AQ5" s="57">
        <f>+AP5+($C$16-$C$17)/$C$18</f>
        <v>1.3178999999999985</v>
      </c>
      <c r="AR5" s="57">
        <f>+AQ5+($C$16-$C$17)/$C$18</f>
        <v>1.3445999999999985</v>
      </c>
      <c r="AS5" s="57">
        <f>+AR5+($C$16-$C$17)/$C$18</f>
        <v>1.3712999999999984</v>
      </c>
      <c r="AT5" s="57">
        <f>+AS5+($C$16-$C$17)/$C$18</f>
        <v>1.3979999999999984</v>
      </c>
      <c r="AU5" s="57">
        <f>+AT5+($C$16-$C$17)/$C$18</f>
        <v>1.4246999999999983</v>
      </c>
      <c r="AV5" s="57">
        <f>+AU5+($C$16-$C$17)/$C$18</f>
        <v>1.4513999999999982</v>
      </c>
      <c r="AW5" s="57">
        <f>+AV5+($C$16-$C$17)/$C$18</f>
        <v>1.4780999999999982</v>
      </c>
      <c r="AX5" s="57">
        <f>+AW5+($C$16-$C$17)/$C$18</f>
        <v>1.5047999999999981</v>
      </c>
      <c r="AY5" s="57">
        <f>+AX5+($C$16-$C$17)/$C$18</f>
        <v>1.5314999999999981</v>
      </c>
      <c r="AZ5" s="57">
        <f>+AY5+($C$16-$C$17)/$C$18</f>
        <v>1.558199999999998</v>
      </c>
      <c r="BA5" s="57">
        <f>+AZ5+($C$16-$C$17)/$C$18</f>
        <v>1.584899999999998</v>
      </c>
      <c r="BB5" s="57">
        <f>+BA5+($C$16-$C$17)/$C$18</f>
        <v>1.6115999999999979</v>
      </c>
      <c r="BC5" s="57">
        <f>+BB5+($C$16-$C$17)/$C$18</f>
        <v>1.6382999999999979</v>
      </c>
      <c r="BD5" s="57">
        <f>+BC5+($C$16-$C$17)/$C$18</f>
        <v>1.6649999999999978</v>
      </c>
      <c r="BE5" s="57">
        <f>+BD5+($C$16-$C$17)/$C$18</f>
        <v>1.6916999999999978</v>
      </c>
      <c r="BF5" s="57">
        <f>+BE5+($C$16-$C$17)/$C$18</f>
        <v>1.7183999999999977</v>
      </c>
      <c r="BG5" s="57">
        <f>+BF5+($C$16-$C$17)/$C$18</f>
        <v>1.7450999999999977</v>
      </c>
      <c r="BH5" s="57">
        <f>+BG5+($C$16-$C$17)/$C$18</f>
        <v>1.7717999999999976</v>
      </c>
      <c r="BI5" s="57">
        <f>+BH5+($C$16-$C$17)/$C$18</f>
        <v>1.7984999999999975</v>
      </c>
      <c r="BJ5" s="57">
        <f>+BI5+($C$16-$C$17)/$C$18</f>
        <v>1.8251999999999975</v>
      </c>
      <c r="BK5" s="57">
        <f>+BJ5+($C$16-$C$17)/$C$18</f>
        <v>1.8518999999999974</v>
      </c>
      <c r="BL5" s="57">
        <f>+BK5+($C$16-$C$17)/$C$18</f>
        <v>1.8785999999999974</v>
      </c>
      <c r="BM5" s="57">
        <f>+BL5+($C$16-$C$17)/$C$18</f>
        <v>1.9052999999999973</v>
      </c>
      <c r="BN5" s="57">
        <f>+BM5+($C$16-$C$17)/$C$18</f>
        <v>1.9319999999999973</v>
      </c>
      <c r="BO5" s="57">
        <f>+BN5+($C$16-$C$17)/$C$18</f>
        <v>1.9586999999999972</v>
      </c>
      <c r="BP5" s="57">
        <f>+BO5+($C$16-$C$17)/$C$18</f>
        <v>1.9853999999999972</v>
      </c>
      <c r="BQ5" s="57">
        <f>+BP5+($C$16-$C$17)/$C$18</f>
        <v>2.0120999999999971</v>
      </c>
      <c r="BR5" s="57">
        <f>+BQ5+($C$16-$C$17)/$C$18</f>
        <v>2.0387999999999971</v>
      </c>
      <c r="BS5" s="57">
        <f>+BR5+($C$16-$C$17)/$C$18</f>
        <v>2.065499999999997</v>
      </c>
      <c r="BT5" s="57">
        <f>+BS5+($C$16-$C$17)/$C$18</f>
        <v>2.092199999999997</v>
      </c>
      <c r="BU5" s="57">
        <f>+BT5+($C$16-$C$17)/$C$18</f>
        <v>2.1188999999999969</v>
      </c>
      <c r="BV5" s="57">
        <f>+BU5+($C$16-$C$17)/$C$18</f>
        <v>2.1455999999999968</v>
      </c>
      <c r="BW5" s="57">
        <f>+BV5+($C$16-$C$17)/$C$18</f>
        <v>2.1722999999999968</v>
      </c>
      <c r="BX5" s="57">
        <f>+BW5+($C$16-$C$17)/$C$18</f>
        <v>2.1989999999999967</v>
      </c>
      <c r="BY5" s="57">
        <f>+BX5+($C$16-$C$17)/$C$18</f>
        <v>2.2256999999999967</v>
      </c>
      <c r="BZ5" s="57">
        <f>+BY5+($C$16-$C$17)/$C$18</f>
        <v>2.2523999999999966</v>
      </c>
      <c r="CA5" s="57">
        <f>+BZ5+($C$16-$C$17)/$C$18</f>
        <v>2.2790999999999966</v>
      </c>
      <c r="CB5" s="57">
        <f>+CA5+($C$16-$C$17)/$C$18</f>
        <v>2.3057999999999965</v>
      </c>
      <c r="CC5" s="57">
        <f>+CB5+($C$16-$C$17)/$C$18</f>
        <v>2.3324999999999965</v>
      </c>
      <c r="CD5" s="57">
        <f>+CC5+($C$16-$C$17)/$C$18</f>
        <v>2.3591999999999964</v>
      </c>
      <c r="CE5" s="57">
        <f>+CD5+($C$16-$C$17)/$C$18</f>
        <v>2.3858999999999964</v>
      </c>
      <c r="CF5" s="57">
        <f>+CE5+($C$16-$C$17)/$C$18</f>
        <v>2.4125999999999963</v>
      </c>
      <c r="CG5" s="57">
        <f>+CF5+($C$16-$C$17)/$C$18</f>
        <v>2.4392999999999962</v>
      </c>
      <c r="CH5" s="57">
        <f>+CG5+($C$16-$C$17)/$C$18</f>
        <v>2.4659999999999962</v>
      </c>
      <c r="CI5" s="57">
        <f>+CH5+($C$16-$C$17)/$C$18</f>
        <v>2.4926999999999961</v>
      </c>
      <c r="CJ5" s="57">
        <f>+CI5+($C$16-$C$17)/$C$18</f>
        <v>2.5193999999999961</v>
      </c>
      <c r="CK5" s="57">
        <f>+CJ5+($C$16-$C$17)/$C$18</f>
        <v>2.546099999999996</v>
      </c>
      <c r="CL5" s="57">
        <f>+CK5+($C$16-$C$17)/$C$18</f>
        <v>2.572799999999996</v>
      </c>
      <c r="CM5" s="57">
        <f>+CL5+($C$16-$C$17)/$C$18</f>
        <v>2.5994999999999959</v>
      </c>
      <c r="CN5" s="57">
        <f>+CM5+($C$16-$C$17)/$C$18</f>
        <v>2.6261999999999959</v>
      </c>
      <c r="CO5" s="57">
        <f>+CN5+($C$16-$C$17)/$C$18</f>
        <v>2.6528999999999958</v>
      </c>
      <c r="CP5" s="57">
        <f>+CO5+($C$16-$C$17)/$C$18</f>
        <v>2.6795999999999958</v>
      </c>
      <c r="CQ5" s="57">
        <f>+CP5+($C$16-$C$17)/$C$18</f>
        <v>2.7062999999999957</v>
      </c>
      <c r="CR5" s="57">
        <f>+CQ5+($C$16-$C$17)/$C$18</f>
        <v>2.7329999999999957</v>
      </c>
      <c r="CS5" s="57">
        <f>+CR5+($C$16-$C$17)/$C$18</f>
        <v>2.7596999999999956</v>
      </c>
      <c r="CT5" s="57">
        <f>+CS5+($C$16-$C$17)/$C$18</f>
        <v>2.7863999999999955</v>
      </c>
      <c r="CU5" s="57">
        <f>+CT5+($C$16-$C$17)/$C$18</f>
        <v>2.8130999999999955</v>
      </c>
      <c r="CV5" s="57">
        <f>+CU5+($C$16-$C$17)/$C$18</f>
        <v>2.8397999999999954</v>
      </c>
      <c r="CW5" s="57">
        <f>+CV5+($C$16-$C$17)/$C$18</f>
        <v>2.8664999999999954</v>
      </c>
      <c r="CX5" s="57">
        <f>+CW5+($C$16-$C$17)/$C$18</f>
        <v>2.8931999999999953</v>
      </c>
      <c r="CY5" s="57">
        <f>+CX5+($C$16-$C$17)/$C$18</f>
        <v>2.9198999999999953</v>
      </c>
      <c r="CZ5" s="57">
        <f t="shared" ref="CZ5:DB5" si="0">+CY5+($C$16-$C$17)/$C$18</f>
        <v>2.9465999999999952</v>
      </c>
      <c r="DA5" s="57">
        <f t="shared" si="0"/>
        <v>2.9732999999999952</v>
      </c>
      <c r="DB5" s="58">
        <f t="shared" si="0"/>
        <v>2.9999999999999951</v>
      </c>
      <c r="DC5" s="46"/>
      <c r="DD5" s="46"/>
      <c r="DE5" s="46"/>
      <c r="DF5" s="46"/>
      <c r="DG5" s="46"/>
      <c r="DH5" s="46"/>
      <c r="DI5" s="46"/>
      <c r="DJ5" s="46"/>
      <c r="DK5" s="46"/>
    </row>
    <row r="6" spans="2:115" x14ac:dyDescent="0.25">
      <c r="B6" s="52" t="s">
        <v>24</v>
      </c>
      <c r="C6" s="39">
        <v>0.02</v>
      </c>
      <c r="E6" s="59">
        <v>0</v>
      </c>
      <c r="F6" s="42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7"/>
    </row>
    <row r="7" spans="2:115" x14ac:dyDescent="0.25">
      <c r="B7" s="53" t="s">
        <v>25</v>
      </c>
      <c r="C7" s="54">
        <v>0.24</v>
      </c>
      <c r="E7" s="60">
        <f>+E6+($C$12/$C$19)</f>
        <v>1E-3</v>
      </c>
      <c r="F7" s="43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8"/>
      <c r="BO7" s="48"/>
      <c r="BP7" s="48"/>
      <c r="BQ7" s="48"/>
      <c r="BR7" s="48"/>
      <c r="BS7" s="48"/>
      <c r="BT7" s="48"/>
      <c r="BU7" s="48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8"/>
      <c r="CJ7" s="48"/>
      <c r="CK7" s="48"/>
      <c r="CL7" s="48"/>
      <c r="CM7" s="48"/>
      <c r="CN7" s="48"/>
      <c r="CO7" s="48"/>
      <c r="CP7" s="48"/>
      <c r="CQ7" s="48"/>
      <c r="CR7" s="48"/>
      <c r="CS7" s="48"/>
      <c r="CT7" s="48"/>
      <c r="CU7" s="48"/>
      <c r="CV7" s="48"/>
      <c r="CW7" s="48"/>
      <c r="CX7" s="48"/>
      <c r="CY7" s="48"/>
      <c r="CZ7" s="48"/>
      <c r="DA7" s="48"/>
      <c r="DB7" s="49"/>
    </row>
    <row r="8" spans="2:115" x14ac:dyDescent="0.25">
      <c r="C8" s="55"/>
      <c r="E8" s="60">
        <f>+E7+($C$12/$C$19)</f>
        <v>2E-3</v>
      </c>
      <c r="F8" s="43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48"/>
      <c r="CP8" s="48"/>
      <c r="CQ8" s="48"/>
      <c r="CR8" s="48"/>
      <c r="CS8" s="48"/>
      <c r="CT8" s="48"/>
      <c r="CU8" s="48"/>
      <c r="CV8" s="48"/>
      <c r="CW8" s="48"/>
      <c r="CX8" s="48"/>
      <c r="CY8" s="48"/>
      <c r="CZ8" s="48"/>
      <c r="DA8" s="48"/>
      <c r="DB8" s="49"/>
    </row>
    <row r="9" spans="2:115" x14ac:dyDescent="0.25">
      <c r="B9" s="41" t="s">
        <v>26</v>
      </c>
      <c r="C9" s="55"/>
      <c r="E9" s="60">
        <f>+E8+($C$12/$C$19)</f>
        <v>3.0000000000000001E-3</v>
      </c>
      <c r="F9" s="43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8"/>
      <c r="CJ9" s="48"/>
      <c r="CK9" s="48"/>
      <c r="CL9" s="48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8"/>
      <c r="DB9" s="49"/>
    </row>
    <row r="10" spans="2:115" x14ac:dyDescent="0.25">
      <c r="B10" s="42" t="s">
        <v>27</v>
      </c>
      <c r="C10" s="38">
        <v>1.1000000000000001</v>
      </c>
      <c r="E10" s="60">
        <f>+E9+($C$12/$C$19)</f>
        <v>4.0000000000000001E-3</v>
      </c>
      <c r="F10" s="43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8"/>
      <c r="BR10" s="48"/>
      <c r="BS10" s="48"/>
      <c r="BT10" s="48"/>
      <c r="BU10" s="48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8"/>
      <c r="CJ10" s="48"/>
      <c r="CK10" s="48"/>
      <c r="CL10" s="48"/>
      <c r="CM10" s="48"/>
      <c r="CN10" s="48"/>
      <c r="CO10" s="48"/>
      <c r="CP10" s="48"/>
      <c r="CQ10" s="48"/>
      <c r="CR10" s="48"/>
      <c r="CS10" s="48"/>
      <c r="CT10" s="48"/>
      <c r="CU10" s="48"/>
      <c r="CV10" s="48"/>
      <c r="CW10" s="48"/>
      <c r="CX10" s="48"/>
      <c r="CY10" s="48"/>
      <c r="CZ10" s="48"/>
      <c r="DA10" s="48"/>
      <c r="DB10" s="49"/>
    </row>
    <row r="11" spans="2:115" x14ac:dyDescent="0.25">
      <c r="B11" s="43" t="s">
        <v>28</v>
      </c>
      <c r="C11" s="39">
        <v>1</v>
      </c>
      <c r="E11" s="60">
        <f>+E10+($C$12/$C$19)</f>
        <v>5.0000000000000001E-3</v>
      </c>
      <c r="F11" s="43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9"/>
    </row>
    <row r="12" spans="2:115" x14ac:dyDescent="0.25">
      <c r="B12" s="43" t="s">
        <v>29</v>
      </c>
      <c r="C12" s="39">
        <v>0.1</v>
      </c>
      <c r="E12" s="60">
        <f>+E11+($C$12/$C$19)</f>
        <v>6.0000000000000001E-3</v>
      </c>
      <c r="F12" s="43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8"/>
      <c r="BR12" s="48"/>
      <c r="BS12" s="48"/>
      <c r="BT12" s="48"/>
      <c r="BU12" s="48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8"/>
      <c r="CJ12" s="48"/>
      <c r="CK12" s="48"/>
      <c r="CL12" s="48"/>
      <c r="CM12" s="48"/>
      <c r="CN12" s="48"/>
      <c r="CO12" s="48"/>
      <c r="CP12" s="48"/>
      <c r="CQ12" s="48"/>
      <c r="CR12" s="48"/>
      <c r="CS12" s="48"/>
      <c r="CT12" s="48"/>
      <c r="CU12" s="48"/>
      <c r="CV12" s="48"/>
      <c r="CW12" s="48"/>
      <c r="CX12" s="48"/>
      <c r="CY12" s="48"/>
      <c r="CZ12" s="48"/>
      <c r="DA12" s="48"/>
      <c r="DB12" s="49"/>
    </row>
    <row r="13" spans="2:115" x14ac:dyDescent="0.25">
      <c r="B13" s="44" t="s">
        <v>37</v>
      </c>
      <c r="C13" s="54">
        <v>1</v>
      </c>
      <c r="E13" s="60">
        <f>+E12+($C$12/$C$19)</f>
        <v>7.0000000000000001E-3</v>
      </c>
      <c r="F13" s="43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8"/>
      <c r="CJ13" s="48"/>
      <c r="CK13" s="48"/>
      <c r="CL13" s="48"/>
      <c r="CM13" s="48"/>
      <c r="CN13" s="48"/>
      <c r="CO13" s="48"/>
      <c r="CP13" s="48"/>
      <c r="CQ13" s="48"/>
      <c r="CR13" s="48"/>
      <c r="CS13" s="48"/>
      <c r="CT13" s="48"/>
      <c r="CU13" s="48"/>
      <c r="CV13" s="48"/>
      <c r="CW13" s="48"/>
      <c r="CX13" s="48"/>
      <c r="CY13" s="48"/>
      <c r="CZ13" s="48"/>
      <c r="DA13" s="48"/>
      <c r="DB13" s="49"/>
    </row>
    <row r="14" spans="2:115" x14ac:dyDescent="0.25">
      <c r="C14" s="55"/>
      <c r="E14" s="60">
        <f>+E13+($C$12/$C$19)</f>
        <v>8.0000000000000002E-3</v>
      </c>
      <c r="F14" s="43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8"/>
      <c r="BR14" s="48"/>
      <c r="BS14" s="48"/>
      <c r="BT14" s="48"/>
      <c r="BU14" s="48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48"/>
      <c r="CP14" s="48"/>
      <c r="CQ14" s="48"/>
      <c r="CR14" s="48"/>
      <c r="CS14" s="48"/>
      <c r="CT14" s="48"/>
      <c r="CU14" s="48"/>
      <c r="CV14" s="48"/>
      <c r="CW14" s="48"/>
      <c r="CX14" s="48"/>
      <c r="CY14" s="48"/>
      <c r="CZ14" s="48"/>
      <c r="DA14" s="48"/>
      <c r="DB14" s="49"/>
    </row>
    <row r="15" spans="2:115" x14ac:dyDescent="0.25">
      <c r="B15" s="41" t="s">
        <v>30</v>
      </c>
      <c r="C15" s="55"/>
      <c r="E15" s="60">
        <f>+E14+($C$12/$C$19)</f>
        <v>9.0000000000000011E-3</v>
      </c>
      <c r="F15" s="43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8"/>
      <c r="CP15" s="48"/>
      <c r="CQ15" s="48"/>
      <c r="CR15" s="48"/>
      <c r="CS15" s="48"/>
      <c r="CT15" s="48"/>
      <c r="CU15" s="48"/>
      <c r="CV15" s="48"/>
      <c r="CW15" s="48"/>
      <c r="CX15" s="48"/>
      <c r="CY15" s="48"/>
      <c r="CZ15" s="48"/>
      <c r="DA15" s="48"/>
      <c r="DB15" s="49"/>
    </row>
    <row r="16" spans="2:115" x14ac:dyDescent="0.25">
      <c r="B16" s="42" t="s">
        <v>31</v>
      </c>
      <c r="C16" s="38">
        <v>3</v>
      </c>
      <c r="E16" s="60">
        <f>+E15+($C$12/$C$19)</f>
        <v>1.0000000000000002E-2</v>
      </c>
      <c r="F16" s="43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8"/>
      <c r="BR16" s="48"/>
      <c r="BS16" s="48"/>
      <c r="BT16" s="48"/>
      <c r="BU16" s="48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8"/>
      <c r="CJ16" s="48"/>
      <c r="CK16" s="48"/>
      <c r="CL16" s="48"/>
      <c r="CM16" s="48"/>
      <c r="CN16" s="48"/>
      <c r="CO16" s="48"/>
      <c r="CP16" s="48"/>
      <c r="CQ16" s="48"/>
      <c r="CR16" s="48"/>
      <c r="CS16" s="48"/>
      <c r="CT16" s="48"/>
      <c r="CU16" s="48"/>
      <c r="CV16" s="48"/>
      <c r="CW16" s="48"/>
      <c r="CX16" s="48"/>
      <c r="CY16" s="48"/>
      <c r="CZ16" s="48"/>
      <c r="DA16" s="48"/>
      <c r="DB16" s="49"/>
    </row>
    <row r="17" spans="2:106" x14ac:dyDescent="0.25">
      <c r="B17" s="43" t="s">
        <v>32</v>
      </c>
      <c r="C17" s="39">
        <v>0.33</v>
      </c>
      <c r="E17" s="60">
        <f>+E16+($C$12/$C$19)</f>
        <v>1.1000000000000003E-2</v>
      </c>
      <c r="F17" s="43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8"/>
      <c r="BR17" s="48"/>
      <c r="BS17" s="48"/>
      <c r="BT17" s="48"/>
      <c r="BU17" s="48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8"/>
      <c r="CJ17" s="48"/>
      <c r="CK17" s="48"/>
      <c r="CL17" s="48"/>
      <c r="CM17" s="48"/>
      <c r="CN17" s="48"/>
      <c r="CO17" s="48"/>
      <c r="CP17" s="48"/>
      <c r="CQ17" s="48"/>
      <c r="CR17" s="48"/>
      <c r="CS17" s="48"/>
      <c r="CT17" s="48"/>
      <c r="CU17" s="48"/>
      <c r="CV17" s="48"/>
      <c r="CW17" s="48"/>
      <c r="CX17" s="48"/>
      <c r="CY17" s="48"/>
      <c r="CZ17" s="48"/>
      <c r="DA17" s="48"/>
      <c r="DB17" s="49"/>
    </row>
    <row r="18" spans="2:106" x14ac:dyDescent="0.25">
      <c r="B18" s="43" t="s">
        <v>33</v>
      </c>
      <c r="C18" s="39">
        <v>100</v>
      </c>
      <c r="E18" s="60">
        <f>+E17+($C$12/$C$19)</f>
        <v>1.2000000000000004E-2</v>
      </c>
      <c r="F18" s="43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8"/>
      <c r="CJ18" s="48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  <c r="DA18" s="48"/>
      <c r="DB18" s="49"/>
    </row>
    <row r="19" spans="2:106" x14ac:dyDescent="0.25">
      <c r="B19" s="44" t="s">
        <v>34</v>
      </c>
      <c r="C19" s="54">
        <v>100</v>
      </c>
      <c r="E19" s="60">
        <f>+E18+($C$12/$C$19)</f>
        <v>1.3000000000000005E-2</v>
      </c>
      <c r="F19" s="43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8"/>
      <c r="BR19" s="48"/>
      <c r="BS19" s="48"/>
      <c r="BT19" s="48"/>
      <c r="BU19" s="48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8"/>
      <c r="CJ19" s="48"/>
      <c r="CK19" s="48"/>
      <c r="CL19" s="48"/>
      <c r="CM19" s="48"/>
      <c r="CN19" s="48"/>
      <c r="CO19" s="48"/>
      <c r="CP19" s="48"/>
      <c r="CQ19" s="48"/>
      <c r="CR19" s="48"/>
      <c r="CS19" s="48"/>
      <c r="CT19" s="48"/>
      <c r="CU19" s="48"/>
      <c r="CV19" s="48"/>
      <c r="CW19" s="48"/>
      <c r="CX19" s="48"/>
      <c r="CY19" s="48"/>
      <c r="CZ19" s="48"/>
      <c r="DA19" s="48"/>
      <c r="DB19" s="49"/>
    </row>
    <row r="20" spans="2:106" x14ac:dyDescent="0.25">
      <c r="E20" s="60">
        <f>+E19+($C$12/$C$19)</f>
        <v>1.4000000000000005E-2</v>
      </c>
      <c r="F20" s="43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8"/>
      <c r="CJ20" s="48"/>
      <c r="CK20" s="48"/>
      <c r="CL20" s="48"/>
      <c r="CM20" s="48"/>
      <c r="CN20" s="48"/>
      <c r="CO20" s="48"/>
      <c r="CP20" s="48"/>
      <c r="CQ20" s="48"/>
      <c r="CR20" s="48"/>
      <c r="CS20" s="48"/>
      <c r="CT20" s="48"/>
      <c r="CU20" s="48"/>
      <c r="CV20" s="48"/>
      <c r="CW20" s="48"/>
      <c r="CX20" s="48"/>
      <c r="CY20" s="48"/>
      <c r="CZ20" s="48"/>
      <c r="DA20" s="48"/>
      <c r="DB20" s="49"/>
    </row>
    <row r="21" spans="2:106" x14ac:dyDescent="0.25">
      <c r="E21" s="60">
        <f>+E20+($C$12/$C$19)</f>
        <v>1.5000000000000006E-2</v>
      </c>
      <c r="F21" s="43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9"/>
    </row>
    <row r="22" spans="2:106" x14ac:dyDescent="0.25">
      <c r="E22" s="60">
        <f>+E21+($C$12/$C$19)</f>
        <v>1.6000000000000007E-2</v>
      </c>
      <c r="F22" s="43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9"/>
    </row>
    <row r="23" spans="2:106" x14ac:dyDescent="0.25">
      <c r="E23" s="60">
        <f>+E22+($C$12/$C$19)</f>
        <v>1.7000000000000008E-2</v>
      </c>
      <c r="F23" s="43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8"/>
      <c r="BR23" s="48"/>
      <c r="BS23" s="48"/>
      <c r="BT23" s="48"/>
      <c r="BU23" s="48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8"/>
      <c r="CJ23" s="48"/>
      <c r="CK23" s="48"/>
      <c r="CL23" s="48"/>
      <c r="CM23" s="48"/>
      <c r="CN23" s="48"/>
      <c r="CO23" s="48"/>
      <c r="CP23" s="48"/>
      <c r="CQ23" s="48"/>
      <c r="CR23" s="48"/>
      <c r="CS23" s="48"/>
      <c r="CT23" s="48"/>
      <c r="CU23" s="48"/>
      <c r="CV23" s="48"/>
      <c r="CW23" s="48"/>
      <c r="CX23" s="48"/>
      <c r="CY23" s="48"/>
      <c r="CZ23" s="48"/>
      <c r="DA23" s="48"/>
      <c r="DB23" s="49"/>
    </row>
    <row r="24" spans="2:106" x14ac:dyDescent="0.25">
      <c r="E24" s="60">
        <f>+E23+($C$12/$C$19)</f>
        <v>1.8000000000000009E-2</v>
      </c>
      <c r="F24" s="43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8"/>
      <c r="CJ24" s="48"/>
      <c r="CK24" s="48"/>
      <c r="CL24" s="48"/>
      <c r="CM24" s="48"/>
      <c r="CN24" s="48"/>
      <c r="CO24" s="48"/>
      <c r="CP24" s="48"/>
      <c r="CQ24" s="48"/>
      <c r="CR24" s="48"/>
      <c r="CS24" s="48"/>
      <c r="CT24" s="48"/>
      <c r="CU24" s="48"/>
      <c r="CV24" s="48"/>
      <c r="CW24" s="48"/>
      <c r="CX24" s="48"/>
      <c r="CY24" s="48"/>
      <c r="CZ24" s="48"/>
      <c r="DA24" s="48"/>
      <c r="DB24" s="49"/>
    </row>
    <row r="25" spans="2:106" x14ac:dyDescent="0.25">
      <c r="E25" s="60">
        <f>+E24+($C$12/$C$19)</f>
        <v>1.900000000000001E-2</v>
      </c>
      <c r="F25" s="43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8"/>
      <c r="BR25" s="48"/>
      <c r="BS25" s="48"/>
      <c r="BT25" s="48"/>
      <c r="BU25" s="48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8"/>
      <c r="CJ25" s="48"/>
      <c r="CK25" s="48"/>
      <c r="CL25" s="48"/>
      <c r="CM25" s="48"/>
      <c r="CN25" s="48"/>
      <c r="CO25" s="48"/>
      <c r="CP25" s="48"/>
      <c r="CQ25" s="48"/>
      <c r="CR25" s="48"/>
      <c r="CS25" s="48"/>
      <c r="CT25" s="48"/>
      <c r="CU25" s="48"/>
      <c r="CV25" s="48"/>
      <c r="CW25" s="48"/>
      <c r="CX25" s="48"/>
      <c r="CY25" s="48"/>
      <c r="CZ25" s="48"/>
      <c r="DA25" s="48"/>
      <c r="DB25" s="49"/>
    </row>
    <row r="26" spans="2:106" x14ac:dyDescent="0.25">
      <c r="E26" s="60">
        <f>+E25+($C$12/$C$19)</f>
        <v>2.0000000000000011E-2</v>
      </c>
      <c r="F26" s="43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8"/>
      <c r="BR26" s="48"/>
      <c r="BS26" s="48"/>
      <c r="BT26" s="48"/>
      <c r="BU26" s="48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8"/>
      <c r="CJ26" s="48"/>
      <c r="CK26" s="48"/>
      <c r="CL26" s="48"/>
      <c r="CM26" s="48"/>
      <c r="CN26" s="48"/>
      <c r="CO26" s="48"/>
      <c r="CP26" s="48"/>
      <c r="CQ26" s="48"/>
      <c r="CR26" s="48"/>
      <c r="CS26" s="48"/>
      <c r="CT26" s="48"/>
      <c r="CU26" s="48"/>
      <c r="CV26" s="48"/>
      <c r="CW26" s="48"/>
      <c r="CX26" s="48"/>
      <c r="CY26" s="48"/>
      <c r="CZ26" s="48"/>
      <c r="DA26" s="48"/>
      <c r="DB26" s="49"/>
    </row>
    <row r="27" spans="2:106" x14ac:dyDescent="0.25">
      <c r="E27" s="60">
        <f>+E26+($C$12/$C$19)</f>
        <v>2.1000000000000012E-2</v>
      </c>
      <c r="F27" s="43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8"/>
      <c r="BR27" s="48"/>
      <c r="BS27" s="48"/>
      <c r="BT27" s="48"/>
      <c r="BU27" s="48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8"/>
      <c r="CJ27" s="48"/>
      <c r="CK27" s="48"/>
      <c r="CL27" s="48"/>
      <c r="CM27" s="48"/>
      <c r="CN27" s="48"/>
      <c r="CO27" s="48"/>
      <c r="CP27" s="48"/>
      <c r="CQ27" s="48"/>
      <c r="CR27" s="48"/>
      <c r="CS27" s="48"/>
      <c r="CT27" s="48"/>
      <c r="CU27" s="48"/>
      <c r="CV27" s="48"/>
      <c r="CW27" s="48"/>
      <c r="CX27" s="48"/>
      <c r="CY27" s="48"/>
      <c r="CZ27" s="48"/>
      <c r="DA27" s="48"/>
      <c r="DB27" s="49"/>
    </row>
    <row r="28" spans="2:106" x14ac:dyDescent="0.25">
      <c r="E28" s="60">
        <f>+E27+($C$12/$C$19)</f>
        <v>2.2000000000000013E-2</v>
      </c>
      <c r="F28" s="43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8"/>
      <c r="BR28" s="48"/>
      <c r="BS28" s="48"/>
      <c r="BT28" s="48"/>
      <c r="BU28" s="48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8"/>
      <c r="CJ28" s="48"/>
      <c r="CK28" s="48"/>
      <c r="CL28" s="48"/>
      <c r="CM28" s="48"/>
      <c r="CN28" s="48"/>
      <c r="CO28" s="48"/>
      <c r="CP28" s="48"/>
      <c r="CQ28" s="48"/>
      <c r="CR28" s="48"/>
      <c r="CS28" s="48"/>
      <c r="CT28" s="48"/>
      <c r="CU28" s="48"/>
      <c r="CV28" s="48"/>
      <c r="CW28" s="48"/>
      <c r="CX28" s="48"/>
      <c r="CY28" s="48"/>
      <c r="CZ28" s="48"/>
      <c r="DA28" s="48"/>
      <c r="DB28" s="49"/>
    </row>
    <row r="29" spans="2:106" x14ac:dyDescent="0.25">
      <c r="E29" s="60">
        <f>+E28+($C$12/$C$19)</f>
        <v>2.3000000000000013E-2</v>
      </c>
      <c r="F29" s="43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8"/>
      <c r="BR29" s="48"/>
      <c r="BS29" s="48"/>
      <c r="BT29" s="48"/>
      <c r="BU29" s="48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8"/>
      <c r="CJ29" s="48"/>
      <c r="CK29" s="48"/>
      <c r="CL29" s="48"/>
      <c r="CM29" s="48"/>
      <c r="CN29" s="48"/>
      <c r="CO29" s="48"/>
      <c r="CP29" s="48"/>
      <c r="CQ29" s="48"/>
      <c r="CR29" s="48"/>
      <c r="CS29" s="48"/>
      <c r="CT29" s="48"/>
      <c r="CU29" s="48"/>
      <c r="CV29" s="48"/>
      <c r="CW29" s="48"/>
      <c r="CX29" s="48"/>
      <c r="CY29" s="48"/>
      <c r="CZ29" s="48"/>
      <c r="DA29" s="48"/>
      <c r="DB29" s="49"/>
    </row>
    <row r="30" spans="2:106" x14ac:dyDescent="0.25">
      <c r="E30" s="60">
        <f>+E29+($C$12/$C$19)</f>
        <v>2.4000000000000014E-2</v>
      </c>
      <c r="F30" s="43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8"/>
      <c r="BR30" s="48"/>
      <c r="BS30" s="48"/>
      <c r="BT30" s="48"/>
      <c r="BU30" s="48"/>
      <c r="BV30" s="48"/>
      <c r="BW30" s="48"/>
      <c r="BX30" s="48"/>
      <c r="BY30" s="48"/>
      <c r="BZ30" s="48"/>
      <c r="CA30" s="48"/>
      <c r="CB30" s="48"/>
      <c r="CC30" s="48"/>
      <c r="CD30" s="48"/>
      <c r="CE30" s="48"/>
      <c r="CF30" s="48"/>
      <c r="CG30" s="48"/>
      <c r="CH30" s="48"/>
      <c r="CI30" s="48"/>
      <c r="CJ30" s="48"/>
      <c r="CK30" s="48"/>
      <c r="CL30" s="48"/>
      <c r="CM30" s="48"/>
      <c r="CN30" s="48"/>
      <c r="CO30" s="48"/>
      <c r="CP30" s="48"/>
      <c r="CQ30" s="48"/>
      <c r="CR30" s="48"/>
      <c r="CS30" s="48"/>
      <c r="CT30" s="48"/>
      <c r="CU30" s="48"/>
      <c r="CV30" s="48"/>
      <c r="CW30" s="48"/>
      <c r="CX30" s="48"/>
      <c r="CY30" s="48"/>
      <c r="CZ30" s="48"/>
      <c r="DA30" s="48"/>
      <c r="DB30" s="49"/>
    </row>
    <row r="31" spans="2:106" x14ac:dyDescent="0.25">
      <c r="E31" s="60">
        <f>+E30+($C$12/$C$19)</f>
        <v>2.5000000000000015E-2</v>
      </c>
      <c r="F31" s="43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8"/>
      <c r="BR31" s="48"/>
      <c r="BS31" s="48"/>
      <c r="BT31" s="48"/>
      <c r="BU31" s="48"/>
      <c r="BV31" s="48"/>
      <c r="BW31" s="48"/>
      <c r="BX31" s="48"/>
      <c r="BY31" s="48"/>
      <c r="BZ31" s="48"/>
      <c r="CA31" s="48"/>
      <c r="CB31" s="48"/>
      <c r="CC31" s="48"/>
      <c r="CD31" s="48"/>
      <c r="CE31" s="48"/>
      <c r="CF31" s="48"/>
      <c r="CG31" s="48"/>
      <c r="CH31" s="48"/>
      <c r="CI31" s="48"/>
      <c r="CJ31" s="48"/>
      <c r="CK31" s="48"/>
      <c r="CL31" s="48"/>
      <c r="CM31" s="48"/>
      <c r="CN31" s="48"/>
      <c r="CO31" s="48"/>
      <c r="CP31" s="48"/>
      <c r="CQ31" s="48"/>
      <c r="CR31" s="48"/>
      <c r="CS31" s="48"/>
      <c r="CT31" s="48"/>
      <c r="CU31" s="48"/>
      <c r="CV31" s="48"/>
      <c r="CW31" s="48"/>
      <c r="CX31" s="48"/>
      <c r="CY31" s="48"/>
      <c r="CZ31" s="48"/>
      <c r="DA31" s="48"/>
      <c r="DB31" s="49"/>
    </row>
    <row r="32" spans="2:106" x14ac:dyDescent="0.25">
      <c r="E32" s="60">
        <f>+E31+($C$12/$C$19)</f>
        <v>2.6000000000000016E-2</v>
      </c>
      <c r="F32" s="43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8"/>
      <c r="BR32" s="48"/>
      <c r="BS32" s="48"/>
      <c r="BT32" s="48"/>
      <c r="BU32" s="48"/>
      <c r="BV32" s="48"/>
      <c r="BW32" s="48"/>
      <c r="BX32" s="48"/>
      <c r="BY32" s="48"/>
      <c r="BZ32" s="48"/>
      <c r="CA32" s="48"/>
      <c r="CB32" s="48"/>
      <c r="CC32" s="48"/>
      <c r="CD32" s="48"/>
      <c r="CE32" s="48"/>
      <c r="CF32" s="48"/>
      <c r="CG32" s="48"/>
      <c r="CH32" s="48"/>
      <c r="CI32" s="48"/>
      <c r="CJ32" s="48"/>
      <c r="CK32" s="48"/>
      <c r="CL32" s="48"/>
      <c r="CM32" s="48"/>
      <c r="CN32" s="48"/>
      <c r="CO32" s="48"/>
      <c r="CP32" s="48"/>
      <c r="CQ32" s="48"/>
      <c r="CR32" s="48"/>
      <c r="CS32" s="48"/>
      <c r="CT32" s="48"/>
      <c r="CU32" s="48"/>
      <c r="CV32" s="48"/>
      <c r="CW32" s="48"/>
      <c r="CX32" s="48"/>
      <c r="CY32" s="48"/>
      <c r="CZ32" s="48"/>
      <c r="DA32" s="48"/>
      <c r="DB32" s="49"/>
    </row>
    <row r="33" spans="5:106" x14ac:dyDescent="0.25">
      <c r="E33" s="60">
        <f>+E32+($C$12/$C$19)</f>
        <v>2.7000000000000017E-2</v>
      </c>
      <c r="F33" s="43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  <c r="CA33" s="48"/>
      <c r="CB33" s="48"/>
      <c r="CC33" s="48"/>
      <c r="CD33" s="48"/>
      <c r="CE33" s="48"/>
      <c r="CF33" s="48"/>
      <c r="CG33" s="48"/>
      <c r="CH33" s="48"/>
      <c r="CI33" s="48"/>
      <c r="CJ33" s="48"/>
      <c r="CK33" s="48"/>
      <c r="CL33" s="48"/>
      <c r="CM33" s="48"/>
      <c r="CN33" s="48"/>
      <c r="CO33" s="48"/>
      <c r="CP33" s="48"/>
      <c r="CQ33" s="48"/>
      <c r="CR33" s="48"/>
      <c r="CS33" s="48"/>
      <c r="CT33" s="48"/>
      <c r="CU33" s="48"/>
      <c r="CV33" s="48"/>
      <c r="CW33" s="48"/>
      <c r="CX33" s="48"/>
      <c r="CY33" s="48"/>
      <c r="CZ33" s="48"/>
      <c r="DA33" s="48"/>
      <c r="DB33" s="49"/>
    </row>
    <row r="34" spans="5:106" x14ac:dyDescent="0.25">
      <c r="E34" s="60">
        <f>+E33+($C$12/$C$19)</f>
        <v>2.8000000000000018E-2</v>
      </c>
      <c r="F34" s="43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8"/>
      <c r="BR34" s="48"/>
      <c r="BS34" s="48"/>
      <c r="BT34" s="48"/>
      <c r="BU34" s="48"/>
      <c r="BV34" s="48"/>
      <c r="BW34" s="48"/>
      <c r="BX34" s="48"/>
      <c r="BY34" s="48"/>
      <c r="BZ34" s="48"/>
      <c r="CA34" s="48"/>
      <c r="CB34" s="48"/>
      <c r="CC34" s="48"/>
      <c r="CD34" s="48"/>
      <c r="CE34" s="48"/>
      <c r="CF34" s="48"/>
      <c r="CG34" s="48"/>
      <c r="CH34" s="48"/>
      <c r="CI34" s="48"/>
      <c r="CJ34" s="48"/>
      <c r="CK34" s="48"/>
      <c r="CL34" s="48"/>
      <c r="CM34" s="48"/>
      <c r="CN34" s="48"/>
      <c r="CO34" s="48"/>
      <c r="CP34" s="48"/>
      <c r="CQ34" s="48"/>
      <c r="CR34" s="48"/>
      <c r="CS34" s="48"/>
      <c r="CT34" s="48"/>
      <c r="CU34" s="48"/>
      <c r="CV34" s="48"/>
      <c r="CW34" s="48"/>
      <c r="CX34" s="48"/>
      <c r="CY34" s="48"/>
      <c r="CZ34" s="48"/>
      <c r="DA34" s="48"/>
      <c r="DB34" s="49"/>
    </row>
    <row r="35" spans="5:106" x14ac:dyDescent="0.25">
      <c r="E35" s="60">
        <f>+E34+($C$12/$C$19)</f>
        <v>2.9000000000000019E-2</v>
      </c>
      <c r="F35" s="43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8"/>
      <c r="BR35" s="48"/>
      <c r="BS35" s="48"/>
      <c r="BT35" s="48"/>
      <c r="BU35" s="48"/>
      <c r="BV35" s="48"/>
      <c r="BW35" s="48"/>
      <c r="BX35" s="48"/>
      <c r="BY35" s="48"/>
      <c r="BZ35" s="48"/>
      <c r="CA35" s="48"/>
      <c r="CB35" s="48"/>
      <c r="CC35" s="48"/>
      <c r="CD35" s="48"/>
      <c r="CE35" s="48"/>
      <c r="CF35" s="48"/>
      <c r="CG35" s="48"/>
      <c r="CH35" s="48"/>
      <c r="CI35" s="48"/>
      <c r="CJ35" s="48"/>
      <c r="CK35" s="48"/>
      <c r="CL35" s="48"/>
      <c r="CM35" s="48"/>
      <c r="CN35" s="48"/>
      <c r="CO35" s="48"/>
      <c r="CP35" s="48"/>
      <c r="CQ35" s="48"/>
      <c r="CR35" s="48"/>
      <c r="CS35" s="48"/>
      <c r="CT35" s="48"/>
      <c r="CU35" s="48"/>
      <c r="CV35" s="48"/>
      <c r="CW35" s="48"/>
      <c r="CX35" s="48"/>
      <c r="CY35" s="48"/>
      <c r="CZ35" s="48"/>
      <c r="DA35" s="48"/>
      <c r="DB35" s="49"/>
    </row>
    <row r="36" spans="5:106" x14ac:dyDescent="0.25">
      <c r="E36" s="60">
        <f>+E35+($C$12/$C$19)</f>
        <v>3.000000000000002E-2</v>
      </c>
      <c r="F36" s="43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48"/>
      <c r="CC36" s="48"/>
      <c r="CD36" s="48"/>
      <c r="CE36" s="48"/>
      <c r="CF36" s="48"/>
      <c r="CG36" s="48"/>
      <c r="CH36" s="48"/>
      <c r="CI36" s="48"/>
      <c r="CJ36" s="48"/>
      <c r="CK36" s="48"/>
      <c r="CL36" s="48"/>
      <c r="CM36" s="48"/>
      <c r="CN36" s="48"/>
      <c r="CO36" s="48"/>
      <c r="CP36" s="48"/>
      <c r="CQ36" s="48"/>
      <c r="CR36" s="48"/>
      <c r="CS36" s="48"/>
      <c r="CT36" s="48"/>
      <c r="CU36" s="48"/>
      <c r="CV36" s="48"/>
      <c r="CW36" s="48"/>
      <c r="CX36" s="48"/>
      <c r="CY36" s="48"/>
      <c r="CZ36" s="48"/>
      <c r="DA36" s="48"/>
      <c r="DB36" s="49"/>
    </row>
    <row r="37" spans="5:106" x14ac:dyDescent="0.25">
      <c r="E37" s="60">
        <f>+E36+($C$12/$C$19)</f>
        <v>3.1000000000000021E-2</v>
      </c>
      <c r="F37" s="43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8"/>
      <c r="BR37" s="48"/>
      <c r="BS37" s="48"/>
      <c r="BT37" s="48"/>
      <c r="BU37" s="48"/>
      <c r="BV37" s="48"/>
      <c r="BW37" s="48"/>
      <c r="BX37" s="48"/>
      <c r="BY37" s="48"/>
      <c r="BZ37" s="48"/>
      <c r="CA37" s="48"/>
      <c r="CB37" s="48"/>
      <c r="CC37" s="48"/>
      <c r="CD37" s="48"/>
      <c r="CE37" s="48"/>
      <c r="CF37" s="48"/>
      <c r="CG37" s="48"/>
      <c r="CH37" s="48"/>
      <c r="CI37" s="48"/>
      <c r="CJ37" s="48"/>
      <c r="CK37" s="48"/>
      <c r="CL37" s="48"/>
      <c r="CM37" s="48"/>
      <c r="CN37" s="48"/>
      <c r="CO37" s="48"/>
      <c r="CP37" s="48"/>
      <c r="CQ37" s="48"/>
      <c r="CR37" s="48"/>
      <c r="CS37" s="48"/>
      <c r="CT37" s="48"/>
      <c r="CU37" s="48"/>
      <c r="CV37" s="48"/>
      <c r="CW37" s="48"/>
      <c r="CX37" s="48"/>
      <c r="CY37" s="48"/>
      <c r="CZ37" s="48"/>
      <c r="DA37" s="48"/>
      <c r="DB37" s="49"/>
    </row>
    <row r="38" spans="5:106" x14ac:dyDescent="0.25">
      <c r="E38" s="60">
        <f>+E37+($C$12/$C$19)</f>
        <v>3.2000000000000021E-2</v>
      </c>
      <c r="F38" s="43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T38" s="48"/>
      <c r="BU38" s="48"/>
      <c r="BV38" s="48"/>
      <c r="BW38" s="48"/>
      <c r="BX38" s="48"/>
      <c r="BY38" s="48"/>
      <c r="BZ38" s="48"/>
      <c r="CA38" s="48"/>
      <c r="CB38" s="48"/>
      <c r="CC38" s="48"/>
      <c r="CD38" s="48"/>
      <c r="CE38" s="48"/>
      <c r="CF38" s="48"/>
      <c r="CG38" s="48"/>
      <c r="CH38" s="48"/>
      <c r="CI38" s="48"/>
      <c r="CJ38" s="48"/>
      <c r="CK38" s="48"/>
      <c r="CL38" s="48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X38" s="48"/>
      <c r="CY38" s="48"/>
      <c r="CZ38" s="48"/>
      <c r="DA38" s="48"/>
      <c r="DB38" s="49"/>
    </row>
    <row r="39" spans="5:106" x14ac:dyDescent="0.25">
      <c r="E39" s="60">
        <f>+E38+($C$12/$C$19)</f>
        <v>3.3000000000000022E-2</v>
      </c>
      <c r="F39" s="43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48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8"/>
      <c r="CH39" s="48"/>
      <c r="CI39" s="48"/>
      <c r="CJ39" s="48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9"/>
    </row>
    <row r="40" spans="5:106" x14ac:dyDescent="0.25">
      <c r="E40" s="60">
        <f>+E39+($C$12/$C$19)</f>
        <v>3.4000000000000023E-2</v>
      </c>
      <c r="F40" s="43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9"/>
    </row>
    <row r="41" spans="5:106" x14ac:dyDescent="0.25">
      <c r="E41" s="60">
        <f>+E40+($C$12/$C$19)</f>
        <v>3.5000000000000024E-2</v>
      </c>
      <c r="F41" s="43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48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8"/>
      <c r="BR41" s="48"/>
      <c r="BS41" s="48"/>
      <c r="BT41" s="48"/>
      <c r="BU41" s="48"/>
      <c r="BV41" s="48"/>
      <c r="BW41" s="48"/>
      <c r="BX41" s="48"/>
      <c r="BY41" s="48"/>
      <c r="BZ41" s="48"/>
      <c r="CA41" s="48"/>
      <c r="CB41" s="48"/>
      <c r="CC41" s="48"/>
      <c r="CD41" s="48"/>
      <c r="CE41" s="48"/>
      <c r="CF41" s="48"/>
      <c r="CG41" s="48"/>
      <c r="CH41" s="48"/>
      <c r="CI41" s="48"/>
      <c r="CJ41" s="48"/>
      <c r="CK41" s="48"/>
      <c r="CL41" s="48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X41" s="48"/>
      <c r="CY41" s="48"/>
      <c r="CZ41" s="48"/>
      <c r="DA41" s="48"/>
      <c r="DB41" s="49"/>
    </row>
    <row r="42" spans="5:106" x14ac:dyDescent="0.25">
      <c r="E42" s="60">
        <f>+E41+($C$12/$C$19)</f>
        <v>3.6000000000000025E-2</v>
      </c>
      <c r="F42" s="43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9"/>
    </row>
    <row r="43" spans="5:106" x14ac:dyDescent="0.25">
      <c r="E43" s="60">
        <f>+E42+($C$12/$C$19)</f>
        <v>3.7000000000000026E-2</v>
      </c>
      <c r="F43" s="43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48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8"/>
      <c r="BR43" s="48"/>
      <c r="BS43" s="48"/>
      <c r="BT43" s="48"/>
      <c r="BU43" s="48"/>
      <c r="BV43" s="48"/>
      <c r="BW43" s="48"/>
      <c r="BX43" s="48"/>
      <c r="BY43" s="48"/>
      <c r="BZ43" s="48"/>
      <c r="CA43" s="48"/>
      <c r="CB43" s="48"/>
      <c r="CC43" s="48"/>
      <c r="CD43" s="48"/>
      <c r="CE43" s="48"/>
      <c r="CF43" s="48"/>
      <c r="CG43" s="48"/>
      <c r="CH43" s="48"/>
      <c r="CI43" s="48"/>
      <c r="CJ43" s="48"/>
      <c r="CK43" s="48"/>
      <c r="CL43" s="48"/>
      <c r="CM43" s="48"/>
      <c r="CN43" s="48"/>
      <c r="CO43" s="48"/>
      <c r="CP43" s="48"/>
      <c r="CQ43" s="48"/>
      <c r="CR43" s="48"/>
      <c r="CS43" s="48"/>
      <c r="CT43" s="48"/>
      <c r="CU43" s="48"/>
      <c r="CV43" s="48"/>
      <c r="CW43" s="48"/>
      <c r="CX43" s="48"/>
      <c r="CY43" s="48"/>
      <c r="CZ43" s="48"/>
      <c r="DA43" s="48"/>
      <c r="DB43" s="49"/>
    </row>
    <row r="44" spans="5:106" x14ac:dyDescent="0.25">
      <c r="E44" s="60">
        <f>+E43+($C$12/$C$19)</f>
        <v>3.8000000000000027E-2</v>
      </c>
      <c r="F44" s="43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8"/>
      <c r="BR44" s="48"/>
      <c r="BS44" s="48"/>
      <c r="BT44" s="48"/>
      <c r="BU44" s="48"/>
      <c r="BV44" s="48"/>
      <c r="BW44" s="48"/>
      <c r="BX44" s="48"/>
      <c r="BY44" s="48"/>
      <c r="BZ44" s="48"/>
      <c r="CA44" s="48"/>
      <c r="CB44" s="48"/>
      <c r="CC44" s="48"/>
      <c r="CD44" s="48"/>
      <c r="CE44" s="48"/>
      <c r="CF44" s="48"/>
      <c r="CG44" s="48"/>
      <c r="CH44" s="48"/>
      <c r="CI44" s="48"/>
      <c r="CJ44" s="48"/>
      <c r="CK44" s="48"/>
      <c r="CL44" s="48"/>
      <c r="CM44" s="48"/>
      <c r="CN44" s="48"/>
      <c r="CO44" s="48"/>
      <c r="CP44" s="48"/>
      <c r="CQ44" s="48"/>
      <c r="CR44" s="48"/>
      <c r="CS44" s="48"/>
      <c r="CT44" s="48"/>
      <c r="CU44" s="48"/>
      <c r="CV44" s="48"/>
      <c r="CW44" s="48"/>
      <c r="CX44" s="48"/>
      <c r="CY44" s="48"/>
      <c r="CZ44" s="48"/>
      <c r="DA44" s="48"/>
      <c r="DB44" s="49"/>
    </row>
    <row r="45" spans="5:106" x14ac:dyDescent="0.25">
      <c r="E45" s="60">
        <f>+E44+($C$12/$C$19)</f>
        <v>3.9000000000000028E-2</v>
      </c>
      <c r="F45" s="43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  <c r="CL45" s="48"/>
      <c r="CM45" s="48"/>
      <c r="CN45" s="48"/>
      <c r="CO45" s="48"/>
      <c r="CP45" s="48"/>
      <c r="CQ45" s="48"/>
      <c r="CR45" s="48"/>
      <c r="CS45" s="48"/>
      <c r="CT45" s="48"/>
      <c r="CU45" s="48"/>
      <c r="CV45" s="48"/>
      <c r="CW45" s="48"/>
      <c r="CX45" s="48"/>
      <c r="CY45" s="48"/>
      <c r="CZ45" s="48"/>
      <c r="DA45" s="48"/>
      <c r="DB45" s="49"/>
    </row>
    <row r="46" spans="5:106" x14ac:dyDescent="0.25">
      <c r="E46" s="60">
        <f>+E45+($C$12/$C$19)</f>
        <v>4.0000000000000029E-2</v>
      </c>
      <c r="F46" s="43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  <c r="BG46" s="48"/>
      <c r="BH46" s="48"/>
      <c r="BI46" s="48"/>
      <c r="BJ46" s="48"/>
      <c r="BK46" s="48"/>
      <c r="BL46" s="48"/>
      <c r="BM46" s="48"/>
      <c r="BN46" s="48"/>
      <c r="BO46" s="48"/>
      <c r="BP46" s="48"/>
      <c r="BQ46" s="48"/>
      <c r="BR46" s="48"/>
      <c r="BS46" s="48"/>
      <c r="BT46" s="48"/>
      <c r="BU46" s="48"/>
      <c r="BV46" s="48"/>
      <c r="BW46" s="48"/>
      <c r="BX46" s="48"/>
      <c r="BY46" s="48"/>
      <c r="BZ46" s="48"/>
      <c r="CA46" s="48"/>
      <c r="CB46" s="48"/>
      <c r="CC46" s="48"/>
      <c r="CD46" s="48"/>
      <c r="CE46" s="48"/>
      <c r="CF46" s="48"/>
      <c r="CG46" s="48"/>
      <c r="CH46" s="48"/>
      <c r="CI46" s="48"/>
      <c r="CJ46" s="48"/>
      <c r="CK46" s="48"/>
      <c r="CL46" s="48"/>
      <c r="CM46" s="48"/>
      <c r="CN46" s="48"/>
      <c r="CO46" s="48"/>
      <c r="CP46" s="48"/>
      <c r="CQ46" s="48"/>
      <c r="CR46" s="48"/>
      <c r="CS46" s="48"/>
      <c r="CT46" s="48"/>
      <c r="CU46" s="48"/>
      <c r="CV46" s="48"/>
      <c r="CW46" s="48"/>
      <c r="CX46" s="48"/>
      <c r="CY46" s="48"/>
      <c r="CZ46" s="48"/>
      <c r="DA46" s="48"/>
      <c r="DB46" s="49"/>
    </row>
    <row r="47" spans="5:106" x14ac:dyDescent="0.25">
      <c r="E47" s="60">
        <f>+E46+($C$12/$C$19)</f>
        <v>4.1000000000000029E-2</v>
      </c>
      <c r="F47" s="43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  <c r="AX47" s="48"/>
      <c r="AY47" s="48"/>
      <c r="AZ47" s="48"/>
      <c r="BA47" s="48"/>
      <c r="BB47" s="48"/>
      <c r="BC47" s="48"/>
      <c r="BD47" s="48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8"/>
      <c r="CD47" s="48"/>
      <c r="CE47" s="48"/>
      <c r="CF47" s="48"/>
      <c r="CG47" s="48"/>
      <c r="CH47" s="48"/>
      <c r="CI47" s="48"/>
      <c r="CJ47" s="48"/>
      <c r="CK47" s="48"/>
      <c r="CL47" s="48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X47" s="48"/>
      <c r="CY47" s="48"/>
      <c r="CZ47" s="48"/>
      <c r="DA47" s="48"/>
      <c r="DB47" s="49"/>
    </row>
    <row r="48" spans="5:106" x14ac:dyDescent="0.25">
      <c r="E48" s="60">
        <f>+E47+($C$12/$C$19)</f>
        <v>4.200000000000003E-2</v>
      </c>
      <c r="F48" s="43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9"/>
    </row>
    <row r="49" spans="5:106" x14ac:dyDescent="0.25">
      <c r="E49" s="60">
        <f>+E48+($C$12/$C$19)</f>
        <v>4.3000000000000031E-2</v>
      </c>
      <c r="F49" s="43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8"/>
      <c r="AZ49" s="48"/>
      <c r="BA49" s="48"/>
      <c r="BB49" s="48"/>
      <c r="BC49" s="48"/>
      <c r="BD49" s="48"/>
      <c r="BE49" s="48"/>
      <c r="BF49" s="48"/>
      <c r="BG49" s="48"/>
      <c r="BH49" s="48"/>
      <c r="BI49" s="48"/>
      <c r="BJ49" s="48"/>
      <c r="BK49" s="48"/>
      <c r="BL49" s="48"/>
      <c r="BM49" s="48"/>
      <c r="BN49" s="48"/>
      <c r="BO49" s="48"/>
      <c r="BP49" s="48"/>
      <c r="BQ49" s="48"/>
      <c r="BR49" s="48"/>
      <c r="BS49" s="48"/>
      <c r="BT49" s="48"/>
      <c r="BU49" s="48"/>
      <c r="BV49" s="48"/>
      <c r="BW49" s="48"/>
      <c r="BX49" s="48"/>
      <c r="BY49" s="48"/>
      <c r="BZ49" s="48"/>
      <c r="CA49" s="48"/>
      <c r="CB49" s="48"/>
      <c r="CC49" s="48"/>
      <c r="CD49" s="48"/>
      <c r="CE49" s="48"/>
      <c r="CF49" s="48"/>
      <c r="CG49" s="48"/>
      <c r="CH49" s="48"/>
      <c r="CI49" s="48"/>
      <c r="CJ49" s="48"/>
      <c r="CK49" s="48"/>
      <c r="CL49" s="48"/>
      <c r="CM49" s="48"/>
      <c r="CN49" s="48"/>
      <c r="CO49" s="48"/>
      <c r="CP49" s="48"/>
      <c r="CQ49" s="48"/>
      <c r="CR49" s="48"/>
      <c r="CS49" s="48"/>
      <c r="CT49" s="48"/>
      <c r="CU49" s="48"/>
      <c r="CV49" s="48"/>
      <c r="CW49" s="48"/>
      <c r="CX49" s="48"/>
      <c r="CY49" s="48"/>
      <c r="CZ49" s="48"/>
      <c r="DA49" s="48"/>
      <c r="DB49" s="49"/>
    </row>
    <row r="50" spans="5:106" x14ac:dyDescent="0.25">
      <c r="E50" s="60">
        <f>+E49+($C$12/$C$19)</f>
        <v>4.4000000000000032E-2</v>
      </c>
      <c r="F50" s="43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  <c r="BM50" s="48"/>
      <c r="BN50" s="48"/>
      <c r="BO50" s="48"/>
      <c r="BP50" s="48"/>
      <c r="BQ50" s="48"/>
      <c r="BR50" s="48"/>
      <c r="BS50" s="48"/>
      <c r="BT50" s="48"/>
      <c r="BU50" s="48"/>
      <c r="BV50" s="48"/>
      <c r="BW50" s="48"/>
      <c r="BX50" s="48"/>
      <c r="BY50" s="48"/>
      <c r="BZ50" s="48"/>
      <c r="CA50" s="48"/>
      <c r="CB50" s="48"/>
      <c r="CC50" s="48"/>
      <c r="CD50" s="48"/>
      <c r="CE50" s="48"/>
      <c r="CF50" s="48"/>
      <c r="CG50" s="48"/>
      <c r="CH50" s="48"/>
      <c r="CI50" s="48"/>
      <c r="CJ50" s="48"/>
      <c r="CK50" s="48"/>
      <c r="CL50" s="48"/>
      <c r="CM50" s="48"/>
      <c r="CN50" s="48"/>
      <c r="CO50" s="48"/>
      <c r="CP50" s="48"/>
      <c r="CQ50" s="48"/>
      <c r="CR50" s="48"/>
      <c r="CS50" s="48"/>
      <c r="CT50" s="48"/>
      <c r="CU50" s="48"/>
      <c r="CV50" s="48"/>
      <c r="CW50" s="48"/>
      <c r="CX50" s="48"/>
      <c r="CY50" s="48"/>
      <c r="CZ50" s="48"/>
      <c r="DA50" s="48"/>
      <c r="DB50" s="49"/>
    </row>
    <row r="51" spans="5:106" x14ac:dyDescent="0.25">
      <c r="E51" s="60">
        <f>+E50+($C$12/$C$19)</f>
        <v>4.5000000000000033E-2</v>
      </c>
      <c r="F51" s="43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  <c r="AZ51" s="48"/>
      <c r="BA51" s="48"/>
      <c r="BB51" s="48"/>
      <c r="BC51" s="48"/>
      <c r="BD51" s="48"/>
      <c r="BE51" s="48"/>
      <c r="BF51" s="48"/>
      <c r="BG51" s="48"/>
      <c r="BH51" s="48"/>
      <c r="BI51" s="48"/>
      <c r="BJ51" s="48"/>
      <c r="BK51" s="48"/>
      <c r="BL51" s="48"/>
      <c r="BM51" s="48"/>
      <c r="BN51" s="48"/>
      <c r="BO51" s="48"/>
      <c r="BP51" s="48"/>
      <c r="BQ51" s="48"/>
      <c r="BR51" s="48"/>
      <c r="BS51" s="48"/>
      <c r="BT51" s="48"/>
      <c r="BU51" s="48"/>
      <c r="BV51" s="48"/>
      <c r="BW51" s="48"/>
      <c r="BX51" s="48"/>
      <c r="BY51" s="48"/>
      <c r="BZ51" s="48"/>
      <c r="CA51" s="48"/>
      <c r="CB51" s="48"/>
      <c r="CC51" s="48"/>
      <c r="CD51" s="48"/>
      <c r="CE51" s="48"/>
      <c r="CF51" s="48"/>
      <c r="CG51" s="48"/>
      <c r="CH51" s="48"/>
      <c r="CI51" s="48"/>
      <c r="CJ51" s="48"/>
      <c r="CK51" s="48"/>
      <c r="CL51" s="48"/>
      <c r="CM51" s="48"/>
      <c r="CN51" s="48"/>
      <c r="CO51" s="48"/>
      <c r="CP51" s="48"/>
      <c r="CQ51" s="48"/>
      <c r="CR51" s="48"/>
      <c r="CS51" s="48"/>
      <c r="CT51" s="48"/>
      <c r="CU51" s="48"/>
      <c r="CV51" s="48"/>
      <c r="CW51" s="48"/>
      <c r="CX51" s="48"/>
      <c r="CY51" s="48"/>
      <c r="CZ51" s="48"/>
      <c r="DA51" s="48"/>
      <c r="DB51" s="49"/>
    </row>
    <row r="52" spans="5:106" x14ac:dyDescent="0.25">
      <c r="E52" s="60">
        <f>+E51+($C$12/$C$19)</f>
        <v>4.6000000000000034E-2</v>
      </c>
      <c r="F52" s="43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9"/>
    </row>
    <row r="53" spans="5:106" x14ac:dyDescent="0.25">
      <c r="E53" s="60">
        <f>+E52+($C$12/$C$19)</f>
        <v>4.7000000000000035E-2</v>
      </c>
      <c r="F53" s="43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  <c r="AZ53" s="48"/>
      <c r="BA53" s="48"/>
      <c r="BB53" s="48"/>
      <c r="BC53" s="48"/>
      <c r="BD53" s="48"/>
      <c r="BE53" s="48"/>
      <c r="BF53" s="48"/>
      <c r="BG53" s="48"/>
      <c r="BH53" s="48"/>
      <c r="BI53" s="48"/>
      <c r="BJ53" s="48"/>
      <c r="BK53" s="48"/>
      <c r="BL53" s="48"/>
      <c r="BM53" s="48"/>
      <c r="BN53" s="48"/>
      <c r="BO53" s="48"/>
      <c r="BP53" s="48"/>
      <c r="BQ53" s="48"/>
      <c r="BR53" s="48"/>
      <c r="BS53" s="48"/>
      <c r="BT53" s="48"/>
      <c r="BU53" s="48"/>
      <c r="BV53" s="48"/>
      <c r="BW53" s="48"/>
      <c r="BX53" s="48"/>
      <c r="BY53" s="48"/>
      <c r="BZ53" s="48"/>
      <c r="CA53" s="48"/>
      <c r="CB53" s="48"/>
      <c r="CC53" s="48"/>
      <c r="CD53" s="48"/>
      <c r="CE53" s="48"/>
      <c r="CF53" s="48"/>
      <c r="CG53" s="48"/>
      <c r="CH53" s="48"/>
      <c r="CI53" s="48"/>
      <c r="CJ53" s="48"/>
      <c r="CK53" s="48"/>
      <c r="CL53" s="48"/>
      <c r="CM53" s="48"/>
      <c r="CN53" s="48"/>
      <c r="CO53" s="48"/>
      <c r="CP53" s="48"/>
      <c r="CQ53" s="48"/>
      <c r="CR53" s="48"/>
      <c r="CS53" s="48"/>
      <c r="CT53" s="48"/>
      <c r="CU53" s="48"/>
      <c r="CV53" s="48"/>
      <c r="CW53" s="48"/>
      <c r="CX53" s="48"/>
      <c r="CY53" s="48"/>
      <c r="CZ53" s="48"/>
      <c r="DA53" s="48"/>
      <c r="DB53" s="49"/>
    </row>
    <row r="54" spans="5:106" x14ac:dyDescent="0.25">
      <c r="E54" s="60">
        <f>+E53+($C$12/$C$19)</f>
        <v>4.8000000000000036E-2</v>
      </c>
      <c r="F54" s="43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  <c r="BG54" s="48"/>
      <c r="BH54" s="48"/>
      <c r="BI54" s="48"/>
      <c r="BJ54" s="48"/>
      <c r="BK54" s="48"/>
      <c r="BL54" s="48"/>
      <c r="BM54" s="48"/>
      <c r="BN54" s="48"/>
      <c r="BO54" s="48"/>
      <c r="BP54" s="48"/>
      <c r="BQ54" s="48"/>
      <c r="BR54" s="48"/>
      <c r="BS54" s="48"/>
      <c r="BT54" s="48"/>
      <c r="BU54" s="48"/>
      <c r="BV54" s="48"/>
      <c r="BW54" s="48"/>
      <c r="BX54" s="48"/>
      <c r="BY54" s="48"/>
      <c r="BZ54" s="48"/>
      <c r="CA54" s="48"/>
      <c r="CB54" s="48"/>
      <c r="CC54" s="48"/>
      <c r="CD54" s="48"/>
      <c r="CE54" s="48"/>
      <c r="CF54" s="48"/>
      <c r="CG54" s="48"/>
      <c r="CH54" s="48"/>
      <c r="CI54" s="48"/>
      <c r="CJ54" s="48"/>
      <c r="CK54" s="48"/>
      <c r="CL54" s="48"/>
      <c r="CM54" s="48"/>
      <c r="CN54" s="48"/>
      <c r="CO54" s="48"/>
      <c r="CP54" s="48"/>
      <c r="CQ54" s="48"/>
      <c r="CR54" s="48"/>
      <c r="CS54" s="48"/>
      <c r="CT54" s="48"/>
      <c r="CU54" s="48"/>
      <c r="CV54" s="48"/>
      <c r="CW54" s="48"/>
      <c r="CX54" s="48"/>
      <c r="CY54" s="48"/>
      <c r="CZ54" s="48"/>
      <c r="DA54" s="48"/>
      <c r="DB54" s="49"/>
    </row>
    <row r="55" spans="5:106" x14ac:dyDescent="0.25">
      <c r="E55" s="60">
        <f>+E54+($C$12/$C$19)</f>
        <v>4.9000000000000037E-2</v>
      </c>
      <c r="F55" s="43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  <c r="AX55" s="48"/>
      <c r="AY55" s="48"/>
      <c r="AZ55" s="48"/>
      <c r="BA55" s="48"/>
      <c r="BB55" s="48"/>
      <c r="BC55" s="48"/>
      <c r="BD55" s="48"/>
      <c r="BE55" s="48"/>
      <c r="BF55" s="48"/>
      <c r="BG55" s="48"/>
      <c r="BH55" s="48"/>
      <c r="BI55" s="48"/>
      <c r="BJ55" s="48"/>
      <c r="BK55" s="48"/>
      <c r="BL55" s="48"/>
      <c r="BM55" s="48"/>
      <c r="BN55" s="48"/>
      <c r="BO55" s="48"/>
      <c r="BP55" s="48"/>
      <c r="BQ55" s="48"/>
      <c r="BR55" s="48"/>
      <c r="BS55" s="48"/>
      <c r="BT55" s="48"/>
      <c r="BU55" s="48"/>
      <c r="BV55" s="48"/>
      <c r="BW55" s="48"/>
      <c r="BX55" s="48"/>
      <c r="BY55" s="48"/>
      <c r="BZ55" s="48"/>
      <c r="CA55" s="48"/>
      <c r="CB55" s="48"/>
      <c r="CC55" s="48"/>
      <c r="CD55" s="48"/>
      <c r="CE55" s="48"/>
      <c r="CF55" s="48"/>
      <c r="CG55" s="48"/>
      <c r="CH55" s="48"/>
      <c r="CI55" s="48"/>
      <c r="CJ55" s="48"/>
      <c r="CK55" s="48"/>
      <c r="CL55" s="48"/>
      <c r="CM55" s="48"/>
      <c r="CN55" s="48"/>
      <c r="CO55" s="48"/>
      <c r="CP55" s="48"/>
      <c r="CQ55" s="48"/>
      <c r="CR55" s="48"/>
      <c r="CS55" s="48"/>
      <c r="CT55" s="48"/>
      <c r="CU55" s="48"/>
      <c r="CV55" s="48"/>
      <c r="CW55" s="48"/>
      <c r="CX55" s="48"/>
      <c r="CY55" s="48"/>
      <c r="CZ55" s="48"/>
      <c r="DA55" s="48"/>
      <c r="DB55" s="49"/>
    </row>
    <row r="56" spans="5:106" x14ac:dyDescent="0.25">
      <c r="E56" s="60">
        <f>+E55+($C$12/$C$19)</f>
        <v>5.0000000000000037E-2</v>
      </c>
      <c r="F56" s="43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48"/>
      <c r="CR56" s="48"/>
      <c r="CS56" s="48"/>
      <c r="CT56" s="48"/>
      <c r="CU56" s="48"/>
      <c r="CV56" s="48"/>
      <c r="CW56" s="48"/>
      <c r="CX56" s="48"/>
      <c r="CY56" s="48"/>
      <c r="CZ56" s="48"/>
      <c r="DA56" s="48"/>
      <c r="DB56" s="49"/>
    </row>
    <row r="57" spans="5:106" x14ac:dyDescent="0.25">
      <c r="E57" s="60">
        <f>+E56+($C$12/$C$19)</f>
        <v>5.1000000000000038E-2</v>
      </c>
      <c r="F57" s="43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  <c r="BD57" s="48"/>
      <c r="BE57" s="48"/>
      <c r="BF57" s="48"/>
      <c r="BG57" s="48"/>
      <c r="BH57" s="48"/>
      <c r="BI57" s="48"/>
      <c r="BJ57" s="48"/>
      <c r="BK57" s="48"/>
      <c r="BL57" s="48"/>
      <c r="BM57" s="48"/>
      <c r="BN57" s="48"/>
      <c r="BO57" s="48"/>
      <c r="BP57" s="48"/>
      <c r="BQ57" s="48"/>
      <c r="BR57" s="48"/>
      <c r="BS57" s="48"/>
      <c r="BT57" s="48"/>
      <c r="BU57" s="48"/>
      <c r="BV57" s="48"/>
      <c r="BW57" s="48"/>
      <c r="BX57" s="48"/>
      <c r="BY57" s="48"/>
      <c r="BZ57" s="48"/>
      <c r="CA57" s="48"/>
      <c r="CB57" s="48"/>
      <c r="CC57" s="48"/>
      <c r="CD57" s="48"/>
      <c r="CE57" s="48"/>
      <c r="CF57" s="48"/>
      <c r="CG57" s="48"/>
      <c r="CH57" s="48"/>
      <c r="CI57" s="48"/>
      <c r="CJ57" s="48"/>
      <c r="CK57" s="48"/>
      <c r="CL57" s="48"/>
      <c r="CM57" s="48"/>
      <c r="CN57" s="48"/>
      <c r="CO57" s="48"/>
      <c r="CP57" s="48"/>
      <c r="CQ57" s="48"/>
      <c r="CR57" s="48"/>
      <c r="CS57" s="48"/>
      <c r="CT57" s="48"/>
      <c r="CU57" s="48"/>
      <c r="CV57" s="48"/>
      <c r="CW57" s="48"/>
      <c r="CX57" s="48"/>
      <c r="CY57" s="48"/>
      <c r="CZ57" s="48"/>
      <c r="DA57" s="48"/>
      <c r="DB57" s="49"/>
    </row>
    <row r="58" spans="5:106" x14ac:dyDescent="0.25">
      <c r="E58" s="60">
        <f>+E57+($C$12/$C$19)</f>
        <v>5.2000000000000039E-2</v>
      </c>
      <c r="F58" s="43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  <c r="BG58" s="48"/>
      <c r="BH58" s="48"/>
      <c r="BI58" s="48"/>
      <c r="BJ58" s="48"/>
      <c r="BK58" s="48"/>
      <c r="BL58" s="48"/>
      <c r="BM58" s="48"/>
      <c r="BN58" s="48"/>
      <c r="BO58" s="48"/>
      <c r="BP58" s="48"/>
      <c r="BQ58" s="48"/>
      <c r="BR58" s="48"/>
      <c r="BS58" s="48"/>
      <c r="BT58" s="48"/>
      <c r="BU58" s="48"/>
      <c r="BV58" s="48"/>
      <c r="BW58" s="48"/>
      <c r="BX58" s="48"/>
      <c r="BY58" s="48"/>
      <c r="BZ58" s="48"/>
      <c r="CA58" s="48"/>
      <c r="CB58" s="48"/>
      <c r="CC58" s="48"/>
      <c r="CD58" s="48"/>
      <c r="CE58" s="48"/>
      <c r="CF58" s="48"/>
      <c r="CG58" s="48"/>
      <c r="CH58" s="48"/>
      <c r="CI58" s="48"/>
      <c r="CJ58" s="48"/>
      <c r="CK58" s="48"/>
      <c r="CL58" s="48"/>
      <c r="CM58" s="48"/>
      <c r="CN58" s="48"/>
      <c r="CO58" s="48"/>
      <c r="CP58" s="48"/>
      <c r="CQ58" s="48"/>
      <c r="CR58" s="48"/>
      <c r="CS58" s="48"/>
      <c r="CT58" s="48"/>
      <c r="CU58" s="48"/>
      <c r="CV58" s="48"/>
      <c r="CW58" s="48"/>
      <c r="CX58" s="48"/>
      <c r="CY58" s="48"/>
      <c r="CZ58" s="48"/>
      <c r="DA58" s="48"/>
      <c r="DB58" s="49"/>
    </row>
    <row r="59" spans="5:106" x14ac:dyDescent="0.25">
      <c r="E59" s="60">
        <f>+E58+($C$12/$C$19)</f>
        <v>5.300000000000004E-2</v>
      </c>
      <c r="F59" s="43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  <c r="AZ59" s="48"/>
      <c r="BA59" s="48"/>
      <c r="BB59" s="48"/>
      <c r="BC59" s="48"/>
      <c r="BD59" s="48"/>
      <c r="BE59" s="48"/>
      <c r="BF59" s="48"/>
      <c r="BG59" s="48"/>
      <c r="BH59" s="48"/>
      <c r="BI59" s="48"/>
      <c r="BJ59" s="48"/>
      <c r="BK59" s="48"/>
      <c r="BL59" s="48"/>
      <c r="BM59" s="48"/>
      <c r="BN59" s="48"/>
      <c r="BO59" s="48"/>
      <c r="BP59" s="48"/>
      <c r="BQ59" s="48"/>
      <c r="BR59" s="48"/>
      <c r="BS59" s="48"/>
      <c r="BT59" s="48"/>
      <c r="BU59" s="48"/>
      <c r="BV59" s="48"/>
      <c r="BW59" s="48"/>
      <c r="BX59" s="48"/>
      <c r="BY59" s="48"/>
      <c r="BZ59" s="48"/>
      <c r="CA59" s="48"/>
      <c r="CB59" s="48"/>
      <c r="CC59" s="48"/>
      <c r="CD59" s="48"/>
      <c r="CE59" s="48"/>
      <c r="CF59" s="48"/>
      <c r="CG59" s="48"/>
      <c r="CH59" s="48"/>
      <c r="CI59" s="48"/>
      <c r="CJ59" s="48"/>
      <c r="CK59" s="48"/>
      <c r="CL59" s="48"/>
      <c r="CM59" s="48"/>
      <c r="CN59" s="48"/>
      <c r="CO59" s="48"/>
      <c r="CP59" s="48"/>
      <c r="CQ59" s="48"/>
      <c r="CR59" s="48"/>
      <c r="CS59" s="48"/>
      <c r="CT59" s="48"/>
      <c r="CU59" s="48"/>
      <c r="CV59" s="48"/>
      <c r="CW59" s="48"/>
      <c r="CX59" s="48"/>
      <c r="CY59" s="48"/>
      <c r="CZ59" s="48"/>
      <c r="DA59" s="48"/>
      <c r="DB59" s="49"/>
    </row>
    <row r="60" spans="5:106" x14ac:dyDescent="0.25">
      <c r="E60" s="60">
        <f>+E59+($C$12/$C$19)</f>
        <v>5.4000000000000041E-2</v>
      </c>
      <c r="F60" s="43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  <c r="BG60" s="48"/>
      <c r="BH60" s="48"/>
      <c r="BI60" s="48"/>
      <c r="BJ60" s="48"/>
      <c r="BK60" s="48"/>
      <c r="BL60" s="48"/>
      <c r="BM60" s="48"/>
      <c r="BN60" s="48"/>
      <c r="BO60" s="48"/>
      <c r="BP60" s="48"/>
      <c r="BQ60" s="48"/>
      <c r="BR60" s="48"/>
      <c r="BS60" s="48"/>
      <c r="BT60" s="48"/>
      <c r="BU60" s="48"/>
      <c r="BV60" s="48"/>
      <c r="BW60" s="48"/>
      <c r="BX60" s="48"/>
      <c r="BY60" s="48"/>
      <c r="BZ60" s="48"/>
      <c r="CA60" s="48"/>
      <c r="CB60" s="48"/>
      <c r="CC60" s="48"/>
      <c r="CD60" s="48"/>
      <c r="CE60" s="48"/>
      <c r="CF60" s="48"/>
      <c r="CG60" s="48"/>
      <c r="CH60" s="48"/>
      <c r="CI60" s="48"/>
      <c r="CJ60" s="48"/>
      <c r="CK60" s="48"/>
      <c r="CL60" s="48"/>
      <c r="CM60" s="48"/>
      <c r="CN60" s="48"/>
      <c r="CO60" s="48"/>
      <c r="CP60" s="48"/>
      <c r="CQ60" s="48"/>
      <c r="CR60" s="48"/>
      <c r="CS60" s="48"/>
      <c r="CT60" s="48"/>
      <c r="CU60" s="48"/>
      <c r="CV60" s="48"/>
      <c r="CW60" s="48"/>
      <c r="CX60" s="48"/>
      <c r="CY60" s="48"/>
      <c r="CZ60" s="48"/>
      <c r="DA60" s="48"/>
      <c r="DB60" s="49"/>
    </row>
    <row r="61" spans="5:106" x14ac:dyDescent="0.25">
      <c r="E61" s="60">
        <f>+E60+($C$12/$C$19)</f>
        <v>5.5000000000000042E-2</v>
      </c>
      <c r="F61" s="43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  <c r="BG61" s="48"/>
      <c r="BH61" s="48"/>
      <c r="BI61" s="48"/>
      <c r="BJ61" s="48"/>
      <c r="BK61" s="48"/>
      <c r="BL61" s="48"/>
      <c r="BM61" s="48"/>
      <c r="BN61" s="48"/>
      <c r="BO61" s="48"/>
      <c r="BP61" s="48"/>
      <c r="BQ61" s="48"/>
      <c r="BR61" s="48"/>
      <c r="BS61" s="48"/>
      <c r="BT61" s="48"/>
      <c r="BU61" s="48"/>
      <c r="BV61" s="48"/>
      <c r="BW61" s="48"/>
      <c r="BX61" s="48"/>
      <c r="BY61" s="48"/>
      <c r="BZ61" s="48"/>
      <c r="CA61" s="48"/>
      <c r="CB61" s="48"/>
      <c r="CC61" s="48"/>
      <c r="CD61" s="48"/>
      <c r="CE61" s="48"/>
      <c r="CF61" s="48"/>
      <c r="CG61" s="48"/>
      <c r="CH61" s="48"/>
      <c r="CI61" s="48"/>
      <c r="CJ61" s="48"/>
      <c r="CK61" s="48"/>
      <c r="CL61" s="48"/>
      <c r="CM61" s="48"/>
      <c r="CN61" s="48"/>
      <c r="CO61" s="48"/>
      <c r="CP61" s="48"/>
      <c r="CQ61" s="48"/>
      <c r="CR61" s="48"/>
      <c r="CS61" s="48"/>
      <c r="CT61" s="48"/>
      <c r="CU61" s="48"/>
      <c r="CV61" s="48"/>
      <c r="CW61" s="48"/>
      <c r="CX61" s="48"/>
      <c r="CY61" s="48"/>
      <c r="CZ61" s="48"/>
      <c r="DA61" s="48"/>
      <c r="DB61" s="49"/>
    </row>
    <row r="62" spans="5:106" x14ac:dyDescent="0.25">
      <c r="E62" s="60">
        <f>+E61+($C$12/$C$19)</f>
        <v>5.6000000000000043E-2</v>
      </c>
      <c r="F62" s="43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  <c r="AX62" s="48"/>
      <c r="AY62" s="48"/>
      <c r="AZ62" s="48"/>
      <c r="BA62" s="48"/>
      <c r="BB62" s="48"/>
      <c r="BC62" s="48"/>
      <c r="BD62" s="48"/>
      <c r="BE62" s="48"/>
      <c r="BF62" s="48"/>
      <c r="BG62" s="48"/>
      <c r="BH62" s="48"/>
      <c r="BI62" s="48"/>
      <c r="BJ62" s="48"/>
      <c r="BK62" s="48"/>
      <c r="BL62" s="48"/>
      <c r="BM62" s="48"/>
      <c r="BN62" s="48"/>
      <c r="BO62" s="48"/>
      <c r="BP62" s="48"/>
      <c r="BQ62" s="48"/>
      <c r="BR62" s="48"/>
      <c r="BS62" s="48"/>
      <c r="BT62" s="48"/>
      <c r="BU62" s="48"/>
      <c r="BV62" s="48"/>
      <c r="BW62" s="48"/>
      <c r="BX62" s="48"/>
      <c r="BY62" s="48"/>
      <c r="BZ62" s="48"/>
      <c r="CA62" s="48"/>
      <c r="CB62" s="48"/>
      <c r="CC62" s="48"/>
      <c r="CD62" s="48"/>
      <c r="CE62" s="48"/>
      <c r="CF62" s="48"/>
      <c r="CG62" s="48"/>
      <c r="CH62" s="48"/>
      <c r="CI62" s="48"/>
      <c r="CJ62" s="48"/>
      <c r="CK62" s="48"/>
      <c r="CL62" s="48"/>
      <c r="CM62" s="48"/>
      <c r="CN62" s="48"/>
      <c r="CO62" s="48"/>
      <c r="CP62" s="48"/>
      <c r="CQ62" s="48"/>
      <c r="CR62" s="48"/>
      <c r="CS62" s="48"/>
      <c r="CT62" s="48"/>
      <c r="CU62" s="48"/>
      <c r="CV62" s="48"/>
      <c r="CW62" s="48"/>
      <c r="CX62" s="48"/>
      <c r="CY62" s="48"/>
      <c r="CZ62" s="48"/>
      <c r="DA62" s="48"/>
      <c r="DB62" s="49"/>
    </row>
    <row r="63" spans="5:106" x14ac:dyDescent="0.25">
      <c r="E63" s="60">
        <f>+E62+($C$12/$C$19)</f>
        <v>5.7000000000000044E-2</v>
      </c>
      <c r="F63" s="43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  <c r="BB63" s="48"/>
      <c r="BC63" s="48"/>
      <c r="BD63" s="48"/>
      <c r="BE63" s="48"/>
      <c r="BF63" s="48"/>
      <c r="BG63" s="48"/>
      <c r="BH63" s="48"/>
      <c r="BI63" s="48"/>
      <c r="BJ63" s="48"/>
      <c r="BK63" s="48"/>
      <c r="BL63" s="48"/>
      <c r="BM63" s="48"/>
      <c r="BN63" s="48"/>
      <c r="BO63" s="48"/>
      <c r="BP63" s="48"/>
      <c r="BQ63" s="48"/>
      <c r="BR63" s="48"/>
      <c r="BS63" s="48"/>
      <c r="BT63" s="48"/>
      <c r="BU63" s="48"/>
      <c r="BV63" s="48"/>
      <c r="BW63" s="48"/>
      <c r="BX63" s="48"/>
      <c r="BY63" s="48"/>
      <c r="BZ63" s="48"/>
      <c r="CA63" s="48"/>
      <c r="CB63" s="48"/>
      <c r="CC63" s="48"/>
      <c r="CD63" s="48"/>
      <c r="CE63" s="48"/>
      <c r="CF63" s="48"/>
      <c r="CG63" s="48"/>
      <c r="CH63" s="48"/>
      <c r="CI63" s="48"/>
      <c r="CJ63" s="48"/>
      <c r="CK63" s="48"/>
      <c r="CL63" s="48"/>
      <c r="CM63" s="48"/>
      <c r="CN63" s="48"/>
      <c r="CO63" s="48"/>
      <c r="CP63" s="48"/>
      <c r="CQ63" s="48"/>
      <c r="CR63" s="48"/>
      <c r="CS63" s="48"/>
      <c r="CT63" s="48"/>
      <c r="CU63" s="48"/>
      <c r="CV63" s="48"/>
      <c r="CW63" s="48"/>
      <c r="CX63" s="48"/>
      <c r="CY63" s="48"/>
      <c r="CZ63" s="48"/>
      <c r="DA63" s="48"/>
      <c r="DB63" s="49"/>
    </row>
    <row r="64" spans="5:106" x14ac:dyDescent="0.25">
      <c r="E64" s="60">
        <f>+E63+($C$12/$C$19)</f>
        <v>5.8000000000000045E-2</v>
      </c>
      <c r="F64" s="43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  <c r="BB64" s="48"/>
      <c r="BC64" s="48"/>
      <c r="BD64" s="48"/>
      <c r="BE64" s="48"/>
      <c r="BF64" s="48"/>
      <c r="BG64" s="48"/>
      <c r="BH64" s="48"/>
      <c r="BI64" s="48"/>
      <c r="BJ64" s="48"/>
      <c r="BK64" s="48"/>
      <c r="BL64" s="48"/>
      <c r="BM64" s="48"/>
      <c r="BN64" s="48"/>
      <c r="BO64" s="48"/>
      <c r="BP64" s="48"/>
      <c r="BQ64" s="48"/>
      <c r="BR64" s="48"/>
      <c r="BS64" s="48"/>
      <c r="BT64" s="48"/>
      <c r="BU64" s="48"/>
      <c r="BV64" s="48"/>
      <c r="BW64" s="48"/>
      <c r="BX64" s="48"/>
      <c r="BY64" s="48"/>
      <c r="BZ64" s="48"/>
      <c r="CA64" s="48"/>
      <c r="CB64" s="48"/>
      <c r="CC64" s="48"/>
      <c r="CD64" s="48"/>
      <c r="CE64" s="48"/>
      <c r="CF64" s="48"/>
      <c r="CG64" s="48"/>
      <c r="CH64" s="48"/>
      <c r="CI64" s="48"/>
      <c r="CJ64" s="48"/>
      <c r="CK64" s="48"/>
      <c r="CL64" s="48"/>
      <c r="CM64" s="48"/>
      <c r="CN64" s="48"/>
      <c r="CO64" s="48"/>
      <c r="CP64" s="48"/>
      <c r="CQ64" s="48"/>
      <c r="CR64" s="48"/>
      <c r="CS64" s="48"/>
      <c r="CT64" s="48"/>
      <c r="CU64" s="48"/>
      <c r="CV64" s="48"/>
      <c r="CW64" s="48"/>
      <c r="CX64" s="48"/>
      <c r="CY64" s="48"/>
      <c r="CZ64" s="48"/>
      <c r="DA64" s="48"/>
      <c r="DB64" s="49"/>
    </row>
    <row r="65" spans="5:106" x14ac:dyDescent="0.25">
      <c r="E65" s="60">
        <f>+E64+($C$12/$C$19)</f>
        <v>5.9000000000000045E-2</v>
      </c>
      <c r="F65" s="43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8"/>
      <c r="CT65" s="48"/>
      <c r="CU65" s="48"/>
      <c r="CV65" s="48"/>
      <c r="CW65" s="48"/>
      <c r="CX65" s="48"/>
      <c r="CY65" s="48"/>
      <c r="CZ65" s="48"/>
      <c r="DA65" s="48"/>
      <c r="DB65" s="49"/>
    </row>
    <row r="66" spans="5:106" x14ac:dyDescent="0.25">
      <c r="E66" s="60">
        <f>+E65+($C$12/$C$19)</f>
        <v>6.0000000000000046E-2</v>
      </c>
      <c r="F66" s="43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  <c r="BB66" s="48"/>
      <c r="BC66" s="48"/>
      <c r="BD66" s="48"/>
      <c r="BE66" s="48"/>
      <c r="BF66" s="48"/>
      <c r="BG66" s="48"/>
      <c r="BH66" s="48"/>
      <c r="BI66" s="48"/>
      <c r="BJ66" s="48"/>
      <c r="BK66" s="48"/>
      <c r="BL66" s="48"/>
      <c r="BM66" s="48"/>
      <c r="BN66" s="48"/>
      <c r="BO66" s="48"/>
      <c r="BP66" s="48"/>
      <c r="BQ66" s="48"/>
      <c r="BR66" s="48"/>
      <c r="BS66" s="48"/>
      <c r="BT66" s="48"/>
      <c r="BU66" s="48"/>
      <c r="BV66" s="48"/>
      <c r="BW66" s="48"/>
      <c r="BX66" s="48"/>
      <c r="BY66" s="48"/>
      <c r="BZ66" s="48"/>
      <c r="CA66" s="48"/>
      <c r="CB66" s="48"/>
      <c r="CC66" s="48"/>
      <c r="CD66" s="48"/>
      <c r="CE66" s="48"/>
      <c r="CF66" s="48"/>
      <c r="CG66" s="48"/>
      <c r="CH66" s="48"/>
      <c r="CI66" s="48"/>
      <c r="CJ66" s="48"/>
      <c r="CK66" s="48"/>
      <c r="CL66" s="48"/>
      <c r="CM66" s="48"/>
      <c r="CN66" s="48"/>
      <c r="CO66" s="48"/>
      <c r="CP66" s="48"/>
      <c r="CQ66" s="48"/>
      <c r="CR66" s="48"/>
      <c r="CS66" s="48"/>
      <c r="CT66" s="48"/>
      <c r="CU66" s="48"/>
      <c r="CV66" s="48"/>
      <c r="CW66" s="48"/>
      <c r="CX66" s="48"/>
      <c r="CY66" s="48"/>
      <c r="CZ66" s="48"/>
      <c r="DA66" s="48"/>
      <c r="DB66" s="49"/>
    </row>
    <row r="67" spans="5:106" x14ac:dyDescent="0.25">
      <c r="E67" s="60">
        <f>+E66+($C$12/$C$19)</f>
        <v>6.1000000000000047E-2</v>
      </c>
      <c r="F67" s="43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  <c r="BB67" s="48"/>
      <c r="BC67" s="48"/>
      <c r="BD67" s="48"/>
      <c r="BE67" s="48"/>
      <c r="BF67" s="48"/>
      <c r="BG67" s="48"/>
      <c r="BH67" s="48"/>
      <c r="BI67" s="48"/>
      <c r="BJ67" s="48"/>
      <c r="BK67" s="48"/>
      <c r="BL67" s="48"/>
      <c r="BM67" s="48"/>
      <c r="BN67" s="48"/>
      <c r="BO67" s="48"/>
      <c r="BP67" s="48"/>
      <c r="BQ67" s="48"/>
      <c r="BR67" s="48"/>
      <c r="BS67" s="48"/>
      <c r="BT67" s="48"/>
      <c r="BU67" s="48"/>
      <c r="BV67" s="48"/>
      <c r="BW67" s="48"/>
      <c r="BX67" s="48"/>
      <c r="BY67" s="48"/>
      <c r="BZ67" s="48"/>
      <c r="CA67" s="48"/>
      <c r="CB67" s="48"/>
      <c r="CC67" s="48"/>
      <c r="CD67" s="48"/>
      <c r="CE67" s="48"/>
      <c r="CF67" s="48"/>
      <c r="CG67" s="48"/>
      <c r="CH67" s="48"/>
      <c r="CI67" s="48"/>
      <c r="CJ67" s="48"/>
      <c r="CK67" s="48"/>
      <c r="CL67" s="48"/>
      <c r="CM67" s="48"/>
      <c r="CN67" s="48"/>
      <c r="CO67" s="48"/>
      <c r="CP67" s="48"/>
      <c r="CQ67" s="48"/>
      <c r="CR67" s="48"/>
      <c r="CS67" s="48"/>
      <c r="CT67" s="48"/>
      <c r="CU67" s="48"/>
      <c r="CV67" s="48"/>
      <c r="CW67" s="48"/>
      <c r="CX67" s="48"/>
      <c r="CY67" s="48"/>
      <c r="CZ67" s="48"/>
      <c r="DA67" s="48"/>
      <c r="DB67" s="49"/>
    </row>
    <row r="68" spans="5:106" x14ac:dyDescent="0.25">
      <c r="E68" s="60">
        <f>+E67+($C$12/$C$19)</f>
        <v>6.2000000000000048E-2</v>
      </c>
      <c r="F68" s="43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  <c r="BB68" s="48"/>
      <c r="BC68" s="48"/>
      <c r="BD68" s="48"/>
      <c r="BE68" s="48"/>
      <c r="BF68" s="48"/>
      <c r="BG68" s="48"/>
      <c r="BH68" s="48"/>
      <c r="BI68" s="48"/>
      <c r="BJ68" s="48"/>
      <c r="BK68" s="48"/>
      <c r="BL68" s="48"/>
      <c r="BM68" s="48"/>
      <c r="BN68" s="48"/>
      <c r="BO68" s="48"/>
      <c r="BP68" s="48"/>
      <c r="BQ68" s="48"/>
      <c r="BR68" s="48"/>
      <c r="BS68" s="48"/>
      <c r="BT68" s="48"/>
      <c r="BU68" s="48"/>
      <c r="BV68" s="48"/>
      <c r="BW68" s="48"/>
      <c r="BX68" s="48"/>
      <c r="BY68" s="48"/>
      <c r="BZ68" s="48"/>
      <c r="CA68" s="48"/>
      <c r="CB68" s="48"/>
      <c r="CC68" s="48"/>
      <c r="CD68" s="48"/>
      <c r="CE68" s="48"/>
      <c r="CF68" s="48"/>
      <c r="CG68" s="48"/>
      <c r="CH68" s="48"/>
      <c r="CI68" s="48"/>
      <c r="CJ68" s="48"/>
      <c r="CK68" s="48"/>
      <c r="CL68" s="48"/>
      <c r="CM68" s="48"/>
      <c r="CN68" s="48"/>
      <c r="CO68" s="48"/>
      <c r="CP68" s="48"/>
      <c r="CQ68" s="48"/>
      <c r="CR68" s="48"/>
      <c r="CS68" s="48"/>
      <c r="CT68" s="48"/>
      <c r="CU68" s="48"/>
      <c r="CV68" s="48"/>
      <c r="CW68" s="48"/>
      <c r="CX68" s="48"/>
      <c r="CY68" s="48"/>
      <c r="CZ68" s="48"/>
      <c r="DA68" s="48"/>
      <c r="DB68" s="49"/>
    </row>
    <row r="69" spans="5:106" x14ac:dyDescent="0.25">
      <c r="E69" s="60">
        <f>+E68+($C$12/$C$19)</f>
        <v>6.3000000000000042E-2</v>
      </c>
      <c r="F69" s="43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  <c r="BB69" s="48"/>
      <c r="BC69" s="48"/>
      <c r="BD69" s="48"/>
      <c r="BE69" s="48"/>
      <c r="BF69" s="48"/>
      <c r="BG69" s="48"/>
      <c r="BH69" s="48"/>
      <c r="BI69" s="48"/>
      <c r="BJ69" s="48"/>
      <c r="BK69" s="48"/>
      <c r="BL69" s="48"/>
      <c r="BM69" s="48"/>
      <c r="BN69" s="48"/>
      <c r="BO69" s="48"/>
      <c r="BP69" s="48"/>
      <c r="BQ69" s="48"/>
      <c r="BR69" s="48"/>
      <c r="BS69" s="48"/>
      <c r="BT69" s="48"/>
      <c r="BU69" s="48"/>
      <c r="BV69" s="48"/>
      <c r="BW69" s="48"/>
      <c r="BX69" s="48"/>
      <c r="BY69" s="48"/>
      <c r="BZ69" s="48"/>
      <c r="CA69" s="48"/>
      <c r="CB69" s="48"/>
      <c r="CC69" s="48"/>
      <c r="CD69" s="48"/>
      <c r="CE69" s="48"/>
      <c r="CF69" s="48"/>
      <c r="CG69" s="48"/>
      <c r="CH69" s="48"/>
      <c r="CI69" s="48"/>
      <c r="CJ69" s="48"/>
      <c r="CK69" s="48"/>
      <c r="CL69" s="48"/>
      <c r="CM69" s="48"/>
      <c r="CN69" s="48"/>
      <c r="CO69" s="48"/>
      <c r="CP69" s="48"/>
      <c r="CQ69" s="48"/>
      <c r="CR69" s="48"/>
      <c r="CS69" s="48"/>
      <c r="CT69" s="48"/>
      <c r="CU69" s="48"/>
      <c r="CV69" s="48"/>
      <c r="CW69" s="48"/>
      <c r="CX69" s="48"/>
      <c r="CY69" s="48"/>
      <c r="CZ69" s="48"/>
      <c r="DA69" s="48"/>
      <c r="DB69" s="49"/>
    </row>
    <row r="70" spans="5:106" x14ac:dyDescent="0.25">
      <c r="E70" s="60">
        <f>+E69+($C$12/$C$19)</f>
        <v>6.4000000000000043E-2</v>
      </c>
      <c r="F70" s="43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C70" s="48"/>
      <c r="BD70" s="48"/>
      <c r="BE70" s="48"/>
      <c r="BF70" s="48"/>
      <c r="BG70" s="48"/>
      <c r="BH70" s="48"/>
      <c r="BI70" s="48"/>
      <c r="BJ70" s="48"/>
      <c r="BK70" s="48"/>
      <c r="BL70" s="48"/>
      <c r="BM70" s="48"/>
      <c r="BN70" s="48"/>
      <c r="BO70" s="48"/>
      <c r="BP70" s="48"/>
      <c r="BQ70" s="48"/>
      <c r="BR70" s="48"/>
      <c r="BS70" s="48"/>
      <c r="BT70" s="48"/>
      <c r="BU70" s="48"/>
      <c r="BV70" s="48"/>
      <c r="BW70" s="48"/>
      <c r="BX70" s="48"/>
      <c r="BY70" s="48"/>
      <c r="BZ70" s="48"/>
      <c r="CA70" s="48"/>
      <c r="CB70" s="48"/>
      <c r="CC70" s="48"/>
      <c r="CD70" s="48"/>
      <c r="CE70" s="48"/>
      <c r="CF70" s="48"/>
      <c r="CG70" s="48"/>
      <c r="CH70" s="48"/>
      <c r="CI70" s="48"/>
      <c r="CJ70" s="48"/>
      <c r="CK70" s="48"/>
      <c r="CL70" s="48"/>
      <c r="CM70" s="48"/>
      <c r="CN70" s="48"/>
      <c r="CO70" s="48"/>
      <c r="CP70" s="48"/>
      <c r="CQ70" s="48"/>
      <c r="CR70" s="48"/>
      <c r="CS70" s="48"/>
      <c r="CT70" s="48"/>
      <c r="CU70" s="48"/>
      <c r="CV70" s="48"/>
      <c r="CW70" s="48"/>
      <c r="CX70" s="48"/>
      <c r="CY70" s="48"/>
      <c r="CZ70" s="48"/>
      <c r="DA70" s="48"/>
      <c r="DB70" s="49"/>
    </row>
    <row r="71" spans="5:106" x14ac:dyDescent="0.25">
      <c r="E71" s="60">
        <f>+E70+($C$12/$C$19)</f>
        <v>6.5000000000000044E-2</v>
      </c>
      <c r="F71" s="43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  <c r="BB71" s="48"/>
      <c r="BC71" s="48"/>
      <c r="BD71" s="48"/>
      <c r="BE71" s="48"/>
      <c r="BF71" s="48"/>
      <c r="BG71" s="48"/>
      <c r="BH71" s="48"/>
      <c r="BI71" s="48"/>
      <c r="BJ71" s="48"/>
      <c r="BK71" s="48"/>
      <c r="BL71" s="48"/>
      <c r="BM71" s="48"/>
      <c r="BN71" s="48"/>
      <c r="BO71" s="48"/>
      <c r="BP71" s="48"/>
      <c r="BQ71" s="48"/>
      <c r="BR71" s="48"/>
      <c r="BS71" s="48"/>
      <c r="BT71" s="48"/>
      <c r="BU71" s="48"/>
      <c r="BV71" s="48"/>
      <c r="BW71" s="48"/>
      <c r="BX71" s="48"/>
      <c r="BY71" s="48"/>
      <c r="BZ71" s="48"/>
      <c r="CA71" s="48"/>
      <c r="CB71" s="48"/>
      <c r="CC71" s="48"/>
      <c r="CD71" s="48"/>
      <c r="CE71" s="48"/>
      <c r="CF71" s="48"/>
      <c r="CG71" s="48"/>
      <c r="CH71" s="48"/>
      <c r="CI71" s="48"/>
      <c r="CJ71" s="48"/>
      <c r="CK71" s="48"/>
      <c r="CL71" s="48"/>
      <c r="CM71" s="48"/>
      <c r="CN71" s="48"/>
      <c r="CO71" s="48"/>
      <c r="CP71" s="48"/>
      <c r="CQ71" s="48"/>
      <c r="CR71" s="48"/>
      <c r="CS71" s="48"/>
      <c r="CT71" s="48"/>
      <c r="CU71" s="48"/>
      <c r="CV71" s="48"/>
      <c r="CW71" s="48"/>
      <c r="CX71" s="48"/>
      <c r="CY71" s="48"/>
      <c r="CZ71" s="48"/>
      <c r="DA71" s="48"/>
      <c r="DB71" s="49"/>
    </row>
    <row r="72" spans="5:106" x14ac:dyDescent="0.25">
      <c r="E72" s="60">
        <f>+E71+($C$12/$C$19)</f>
        <v>6.6000000000000045E-2</v>
      </c>
      <c r="F72" s="43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  <c r="BB72" s="48"/>
      <c r="BC72" s="48"/>
      <c r="BD72" s="48"/>
      <c r="BE72" s="48"/>
      <c r="BF72" s="48"/>
      <c r="BG72" s="48"/>
      <c r="BH72" s="48"/>
      <c r="BI72" s="48"/>
      <c r="BJ72" s="48"/>
      <c r="BK72" s="48"/>
      <c r="BL72" s="48"/>
      <c r="BM72" s="48"/>
      <c r="BN72" s="48"/>
      <c r="BO72" s="48"/>
      <c r="BP72" s="48"/>
      <c r="BQ72" s="48"/>
      <c r="BR72" s="48"/>
      <c r="BS72" s="48"/>
      <c r="BT72" s="48"/>
      <c r="BU72" s="48"/>
      <c r="BV72" s="48"/>
      <c r="BW72" s="48"/>
      <c r="BX72" s="48"/>
      <c r="BY72" s="48"/>
      <c r="BZ72" s="48"/>
      <c r="CA72" s="48"/>
      <c r="CB72" s="48"/>
      <c r="CC72" s="48"/>
      <c r="CD72" s="48"/>
      <c r="CE72" s="48"/>
      <c r="CF72" s="48"/>
      <c r="CG72" s="48"/>
      <c r="CH72" s="48"/>
      <c r="CI72" s="48"/>
      <c r="CJ72" s="48"/>
      <c r="CK72" s="48"/>
      <c r="CL72" s="48"/>
      <c r="CM72" s="48"/>
      <c r="CN72" s="48"/>
      <c r="CO72" s="48"/>
      <c r="CP72" s="48"/>
      <c r="CQ72" s="48"/>
      <c r="CR72" s="48"/>
      <c r="CS72" s="48"/>
      <c r="CT72" s="48"/>
      <c r="CU72" s="48"/>
      <c r="CV72" s="48"/>
      <c r="CW72" s="48"/>
      <c r="CX72" s="48"/>
      <c r="CY72" s="48"/>
      <c r="CZ72" s="48"/>
      <c r="DA72" s="48"/>
      <c r="DB72" s="49"/>
    </row>
    <row r="73" spans="5:106" x14ac:dyDescent="0.25">
      <c r="E73" s="60">
        <f>+E72+($C$12/$C$19)</f>
        <v>6.7000000000000046E-2</v>
      </c>
      <c r="F73" s="43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  <c r="BB73" s="48"/>
      <c r="BC73" s="48"/>
      <c r="BD73" s="48"/>
      <c r="BE73" s="48"/>
      <c r="BF73" s="48"/>
      <c r="BG73" s="48"/>
      <c r="BH73" s="48"/>
      <c r="BI73" s="48"/>
      <c r="BJ73" s="48"/>
      <c r="BK73" s="48"/>
      <c r="BL73" s="48"/>
      <c r="BM73" s="48"/>
      <c r="BN73" s="48"/>
      <c r="BO73" s="48"/>
      <c r="BP73" s="48"/>
      <c r="BQ73" s="48"/>
      <c r="BR73" s="48"/>
      <c r="BS73" s="48"/>
      <c r="BT73" s="48"/>
      <c r="BU73" s="48"/>
      <c r="BV73" s="48"/>
      <c r="BW73" s="48"/>
      <c r="BX73" s="48"/>
      <c r="BY73" s="48"/>
      <c r="BZ73" s="48"/>
      <c r="CA73" s="48"/>
      <c r="CB73" s="48"/>
      <c r="CC73" s="48"/>
      <c r="CD73" s="48"/>
      <c r="CE73" s="48"/>
      <c r="CF73" s="48"/>
      <c r="CG73" s="48"/>
      <c r="CH73" s="48"/>
      <c r="CI73" s="48"/>
      <c r="CJ73" s="48"/>
      <c r="CK73" s="48"/>
      <c r="CL73" s="48"/>
      <c r="CM73" s="48"/>
      <c r="CN73" s="48"/>
      <c r="CO73" s="48"/>
      <c r="CP73" s="48"/>
      <c r="CQ73" s="48"/>
      <c r="CR73" s="48"/>
      <c r="CS73" s="48"/>
      <c r="CT73" s="48"/>
      <c r="CU73" s="48"/>
      <c r="CV73" s="48"/>
      <c r="CW73" s="48"/>
      <c r="CX73" s="48"/>
      <c r="CY73" s="48"/>
      <c r="CZ73" s="48"/>
      <c r="DA73" s="48"/>
      <c r="DB73" s="49"/>
    </row>
    <row r="74" spans="5:106" x14ac:dyDescent="0.25">
      <c r="E74" s="60">
        <f>+E73+($C$12/$C$19)</f>
        <v>6.8000000000000047E-2</v>
      </c>
      <c r="F74" s="43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48"/>
      <c r="BG74" s="48"/>
      <c r="BH74" s="48"/>
      <c r="BI74" s="48"/>
      <c r="BJ74" s="48"/>
      <c r="BK74" s="48"/>
      <c r="BL74" s="48"/>
      <c r="BM74" s="48"/>
      <c r="BN74" s="48"/>
      <c r="BO74" s="48"/>
      <c r="BP74" s="48"/>
      <c r="BQ74" s="48"/>
      <c r="BR74" s="48"/>
      <c r="BS74" s="48"/>
      <c r="BT74" s="48"/>
      <c r="BU74" s="48"/>
      <c r="BV74" s="48"/>
      <c r="BW74" s="48"/>
      <c r="BX74" s="48"/>
      <c r="BY74" s="48"/>
      <c r="BZ74" s="48"/>
      <c r="CA74" s="48"/>
      <c r="CB74" s="48"/>
      <c r="CC74" s="48"/>
      <c r="CD74" s="48"/>
      <c r="CE74" s="48"/>
      <c r="CF74" s="48"/>
      <c r="CG74" s="48"/>
      <c r="CH74" s="48"/>
      <c r="CI74" s="48"/>
      <c r="CJ74" s="48"/>
      <c r="CK74" s="48"/>
      <c r="CL74" s="48"/>
      <c r="CM74" s="48"/>
      <c r="CN74" s="48"/>
      <c r="CO74" s="48"/>
      <c r="CP74" s="48"/>
      <c r="CQ74" s="48"/>
      <c r="CR74" s="48"/>
      <c r="CS74" s="48"/>
      <c r="CT74" s="48"/>
      <c r="CU74" s="48"/>
      <c r="CV74" s="48"/>
      <c r="CW74" s="48"/>
      <c r="CX74" s="48"/>
      <c r="CY74" s="48"/>
      <c r="CZ74" s="48"/>
      <c r="DA74" s="48"/>
      <c r="DB74" s="49"/>
    </row>
    <row r="75" spans="5:106" x14ac:dyDescent="0.25">
      <c r="E75" s="60">
        <f>+E74+($C$12/$C$19)</f>
        <v>6.9000000000000047E-2</v>
      </c>
      <c r="F75" s="43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  <c r="BB75" s="48"/>
      <c r="BC75" s="48"/>
      <c r="BD75" s="48"/>
      <c r="BE75" s="48"/>
      <c r="BF75" s="48"/>
      <c r="BG75" s="48"/>
      <c r="BH75" s="48"/>
      <c r="BI75" s="48"/>
      <c r="BJ75" s="48"/>
      <c r="BK75" s="48"/>
      <c r="BL75" s="48"/>
      <c r="BM75" s="48"/>
      <c r="BN75" s="48"/>
      <c r="BO75" s="48"/>
      <c r="BP75" s="48"/>
      <c r="BQ75" s="48"/>
      <c r="BR75" s="48"/>
      <c r="BS75" s="48"/>
      <c r="BT75" s="48"/>
      <c r="BU75" s="48"/>
      <c r="BV75" s="48"/>
      <c r="BW75" s="48"/>
      <c r="BX75" s="48"/>
      <c r="BY75" s="48"/>
      <c r="BZ75" s="48"/>
      <c r="CA75" s="48"/>
      <c r="CB75" s="48"/>
      <c r="CC75" s="48"/>
      <c r="CD75" s="48"/>
      <c r="CE75" s="48"/>
      <c r="CF75" s="48"/>
      <c r="CG75" s="48"/>
      <c r="CH75" s="48"/>
      <c r="CI75" s="48"/>
      <c r="CJ75" s="48"/>
      <c r="CK75" s="48"/>
      <c r="CL75" s="48"/>
      <c r="CM75" s="48"/>
      <c r="CN75" s="48"/>
      <c r="CO75" s="48"/>
      <c r="CP75" s="48"/>
      <c r="CQ75" s="48"/>
      <c r="CR75" s="48"/>
      <c r="CS75" s="48"/>
      <c r="CT75" s="48"/>
      <c r="CU75" s="48"/>
      <c r="CV75" s="48"/>
      <c r="CW75" s="48"/>
      <c r="CX75" s="48"/>
      <c r="CY75" s="48"/>
      <c r="CZ75" s="48"/>
      <c r="DA75" s="48"/>
      <c r="DB75" s="49"/>
    </row>
    <row r="76" spans="5:106" x14ac:dyDescent="0.25">
      <c r="E76" s="60">
        <f>+E75+($C$12/$C$19)</f>
        <v>7.0000000000000048E-2</v>
      </c>
      <c r="F76" s="43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  <c r="BB76" s="48"/>
      <c r="BC76" s="48"/>
      <c r="BD76" s="48"/>
      <c r="BE76" s="48"/>
      <c r="BF76" s="48"/>
      <c r="BG76" s="48"/>
      <c r="BH76" s="48"/>
      <c r="BI76" s="48"/>
      <c r="BJ76" s="48"/>
      <c r="BK76" s="48"/>
      <c r="BL76" s="48"/>
      <c r="BM76" s="48"/>
      <c r="BN76" s="48"/>
      <c r="BO76" s="48"/>
      <c r="BP76" s="48"/>
      <c r="BQ76" s="48"/>
      <c r="BR76" s="48"/>
      <c r="BS76" s="48"/>
      <c r="BT76" s="48"/>
      <c r="BU76" s="48"/>
      <c r="BV76" s="48"/>
      <c r="BW76" s="48"/>
      <c r="BX76" s="48"/>
      <c r="BY76" s="48"/>
      <c r="BZ76" s="48"/>
      <c r="CA76" s="48"/>
      <c r="CB76" s="48"/>
      <c r="CC76" s="48"/>
      <c r="CD76" s="48"/>
      <c r="CE76" s="48"/>
      <c r="CF76" s="48"/>
      <c r="CG76" s="48"/>
      <c r="CH76" s="48"/>
      <c r="CI76" s="48"/>
      <c r="CJ76" s="48"/>
      <c r="CK76" s="48"/>
      <c r="CL76" s="48"/>
      <c r="CM76" s="48"/>
      <c r="CN76" s="48"/>
      <c r="CO76" s="48"/>
      <c r="CP76" s="48"/>
      <c r="CQ76" s="48"/>
      <c r="CR76" s="48"/>
      <c r="CS76" s="48"/>
      <c r="CT76" s="48"/>
      <c r="CU76" s="48"/>
      <c r="CV76" s="48"/>
      <c r="CW76" s="48"/>
      <c r="CX76" s="48"/>
      <c r="CY76" s="48"/>
      <c r="CZ76" s="48"/>
      <c r="DA76" s="48"/>
      <c r="DB76" s="49"/>
    </row>
    <row r="77" spans="5:106" x14ac:dyDescent="0.25">
      <c r="E77" s="60">
        <f>+E76+($C$12/$C$19)</f>
        <v>7.1000000000000049E-2</v>
      </c>
      <c r="F77" s="43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  <c r="BB77" s="48"/>
      <c r="BC77" s="48"/>
      <c r="BD77" s="48"/>
      <c r="BE77" s="48"/>
      <c r="BF77" s="48"/>
      <c r="BG77" s="48"/>
      <c r="BH77" s="48"/>
      <c r="BI77" s="48"/>
      <c r="BJ77" s="48"/>
      <c r="BK77" s="48"/>
      <c r="BL77" s="48"/>
      <c r="BM77" s="48"/>
      <c r="BN77" s="48"/>
      <c r="BO77" s="48"/>
      <c r="BP77" s="48"/>
      <c r="BQ77" s="48"/>
      <c r="BR77" s="48"/>
      <c r="BS77" s="48"/>
      <c r="BT77" s="48"/>
      <c r="BU77" s="48"/>
      <c r="BV77" s="48"/>
      <c r="BW77" s="48"/>
      <c r="BX77" s="48"/>
      <c r="BY77" s="48"/>
      <c r="BZ77" s="48"/>
      <c r="CA77" s="48"/>
      <c r="CB77" s="48"/>
      <c r="CC77" s="48"/>
      <c r="CD77" s="48"/>
      <c r="CE77" s="48"/>
      <c r="CF77" s="48"/>
      <c r="CG77" s="48"/>
      <c r="CH77" s="48"/>
      <c r="CI77" s="48"/>
      <c r="CJ77" s="48"/>
      <c r="CK77" s="48"/>
      <c r="CL77" s="48"/>
      <c r="CM77" s="48"/>
      <c r="CN77" s="48"/>
      <c r="CO77" s="48"/>
      <c r="CP77" s="48"/>
      <c r="CQ77" s="48"/>
      <c r="CR77" s="48"/>
      <c r="CS77" s="48"/>
      <c r="CT77" s="48"/>
      <c r="CU77" s="48"/>
      <c r="CV77" s="48"/>
      <c r="CW77" s="48"/>
      <c r="CX77" s="48"/>
      <c r="CY77" s="48"/>
      <c r="CZ77" s="48"/>
      <c r="DA77" s="48"/>
      <c r="DB77" s="49"/>
    </row>
    <row r="78" spans="5:106" x14ac:dyDescent="0.25">
      <c r="E78" s="60">
        <f>+E77+($C$12/$C$19)</f>
        <v>7.200000000000005E-2</v>
      </c>
      <c r="F78" s="43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  <c r="BB78" s="48"/>
      <c r="BC78" s="48"/>
      <c r="BD78" s="48"/>
      <c r="BE78" s="48"/>
      <c r="BF78" s="48"/>
      <c r="BG78" s="48"/>
      <c r="BH78" s="48"/>
      <c r="BI78" s="48"/>
      <c r="BJ78" s="48"/>
      <c r="BK78" s="48"/>
      <c r="BL78" s="48"/>
      <c r="BM78" s="48"/>
      <c r="BN78" s="48"/>
      <c r="BO78" s="48"/>
      <c r="BP78" s="48"/>
      <c r="BQ78" s="48"/>
      <c r="BR78" s="48"/>
      <c r="BS78" s="48"/>
      <c r="BT78" s="48"/>
      <c r="BU78" s="48"/>
      <c r="BV78" s="48"/>
      <c r="BW78" s="48"/>
      <c r="BX78" s="48"/>
      <c r="BY78" s="48"/>
      <c r="BZ78" s="48"/>
      <c r="CA78" s="48"/>
      <c r="CB78" s="48"/>
      <c r="CC78" s="48"/>
      <c r="CD78" s="48"/>
      <c r="CE78" s="48"/>
      <c r="CF78" s="48"/>
      <c r="CG78" s="48"/>
      <c r="CH78" s="48"/>
      <c r="CI78" s="48"/>
      <c r="CJ78" s="48"/>
      <c r="CK78" s="48"/>
      <c r="CL78" s="48"/>
      <c r="CM78" s="48"/>
      <c r="CN78" s="48"/>
      <c r="CO78" s="48"/>
      <c r="CP78" s="48"/>
      <c r="CQ78" s="48"/>
      <c r="CR78" s="48"/>
      <c r="CS78" s="48"/>
      <c r="CT78" s="48"/>
      <c r="CU78" s="48"/>
      <c r="CV78" s="48"/>
      <c r="CW78" s="48"/>
      <c r="CX78" s="48"/>
      <c r="CY78" s="48"/>
      <c r="CZ78" s="48"/>
      <c r="DA78" s="48"/>
      <c r="DB78" s="49"/>
    </row>
    <row r="79" spans="5:106" x14ac:dyDescent="0.25">
      <c r="E79" s="60">
        <f>+E78+($C$12/$C$19)</f>
        <v>7.3000000000000051E-2</v>
      </c>
      <c r="F79" s="43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  <c r="BB79" s="48"/>
      <c r="BC79" s="48"/>
      <c r="BD79" s="48"/>
      <c r="BE79" s="48"/>
      <c r="BF79" s="48"/>
      <c r="BG79" s="48"/>
      <c r="BH79" s="48"/>
      <c r="BI79" s="48"/>
      <c r="BJ79" s="48"/>
      <c r="BK79" s="48"/>
      <c r="BL79" s="48"/>
      <c r="BM79" s="48"/>
      <c r="BN79" s="48"/>
      <c r="BO79" s="48"/>
      <c r="BP79" s="48"/>
      <c r="BQ79" s="48"/>
      <c r="BR79" s="48"/>
      <c r="BS79" s="48"/>
      <c r="BT79" s="48"/>
      <c r="BU79" s="48"/>
      <c r="BV79" s="48"/>
      <c r="BW79" s="48"/>
      <c r="BX79" s="48"/>
      <c r="BY79" s="48"/>
      <c r="BZ79" s="48"/>
      <c r="CA79" s="48"/>
      <c r="CB79" s="48"/>
      <c r="CC79" s="48"/>
      <c r="CD79" s="48"/>
      <c r="CE79" s="48"/>
      <c r="CF79" s="48"/>
      <c r="CG79" s="48"/>
      <c r="CH79" s="48"/>
      <c r="CI79" s="48"/>
      <c r="CJ79" s="48"/>
      <c r="CK79" s="48"/>
      <c r="CL79" s="48"/>
      <c r="CM79" s="48"/>
      <c r="CN79" s="48"/>
      <c r="CO79" s="48"/>
      <c r="CP79" s="48"/>
      <c r="CQ79" s="48"/>
      <c r="CR79" s="48"/>
      <c r="CS79" s="48"/>
      <c r="CT79" s="48"/>
      <c r="CU79" s="48"/>
      <c r="CV79" s="48"/>
      <c r="CW79" s="48"/>
      <c r="CX79" s="48"/>
      <c r="CY79" s="48"/>
      <c r="CZ79" s="48"/>
      <c r="DA79" s="48"/>
      <c r="DB79" s="49"/>
    </row>
    <row r="80" spans="5:106" x14ac:dyDescent="0.25">
      <c r="E80" s="60">
        <f>+E79+($C$12/$C$19)</f>
        <v>7.4000000000000052E-2</v>
      </c>
      <c r="F80" s="43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  <c r="BB80" s="48"/>
      <c r="BC80" s="48"/>
      <c r="BD80" s="48"/>
      <c r="BE80" s="48"/>
      <c r="BF80" s="48"/>
      <c r="BG80" s="48"/>
      <c r="BH80" s="48"/>
      <c r="BI80" s="48"/>
      <c r="BJ80" s="48"/>
      <c r="BK80" s="48"/>
      <c r="BL80" s="48"/>
      <c r="BM80" s="48"/>
      <c r="BN80" s="48"/>
      <c r="BO80" s="48"/>
      <c r="BP80" s="48"/>
      <c r="BQ80" s="48"/>
      <c r="BR80" s="48"/>
      <c r="BS80" s="48"/>
      <c r="BT80" s="48"/>
      <c r="BU80" s="48"/>
      <c r="BV80" s="48"/>
      <c r="BW80" s="48"/>
      <c r="BX80" s="48"/>
      <c r="BY80" s="48"/>
      <c r="BZ80" s="48"/>
      <c r="CA80" s="48"/>
      <c r="CB80" s="48"/>
      <c r="CC80" s="48"/>
      <c r="CD80" s="48"/>
      <c r="CE80" s="48"/>
      <c r="CF80" s="48"/>
      <c r="CG80" s="48"/>
      <c r="CH80" s="48"/>
      <c r="CI80" s="48"/>
      <c r="CJ80" s="48"/>
      <c r="CK80" s="48"/>
      <c r="CL80" s="48"/>
      <c r="CM80" s="48"/>
      <c r="CN80" s="48"/>
      <c r="CO80" s="48"/>
      <c r="CP80" s="48"/>
      <c r="CQ80" s="48"/>
      <c r="CR80" s="48"/>
      <c r="CS80" s="48"/>
      <c r="CT80" s="48"/>
      <c r="CU80" s="48"/>
      <c r="CV80" s="48"/>
      <c r="CW80" s="48"/>
      <c r="CX80" s="48"/>
      <c r="CY80" s="48"/>
      <c r="CZ80" s="48"/>
      <c r="DA80" s="48"/>
      <c r="DB80" s="49"/>
    </row>
    <row r="81" spans="5:106" x14ac:dyDescent="0.25">
      <c r="E81" s="60">
        <f>+E80+($C$12/$C$19)</f>
        <v>7.5000000000000053E-2</v>
      </c>
      <c r="F81" s="43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  <c r="BB81" s="48"/>
      <c r="BC81" s="48"/>
      <c r="BD81" s="48"/>
      <c r="BE81" s="48"/>
      <c r="BF81" s="48"/>
      <c r="BG81" s="48"/>
      <c r="BH81" s="48"/>
      <c r="BI81" s="48"/>
      <c r="BJ81" s="48"/>
      <c r="BK81" s="48"/>
      <c r="BL81" s="48"/>
      <c r="BM81" s="48"/>
      <c r="BN81" s="48"/>
      <c r="BO81" s="48"/>
      <c r="BP81" s="48"/>
      <c r="BQ81" s="48"/>
      <c r="BR81" s="48"/>
      <c r="BS81" s="48"/>
      <c r="BT81" s="48"/>
      <c r="BU81" s="48"/>
      <c r="BV81" s="48"/>
      <c r="BW81" s="48"/>
      <c r="BX81" s="48"/>
      <c r="BY81" s="48"/>
      <c r="BZ81" s="48"/>
      <c r="CA81" s="48"/>
      <c r="CB81" s="48"/>
      <c r="CC81" s="48"/>
      <c r="CD81" s="48"/>
      <c r="CE81" s="48"/>
      <c r="CF81" s="48"/>
      <c r="CG81" s="48"/>
      <c r="CH81" s="48"/>
      <c r="CI81" s="48"/>
      <c r="CJ81" s="48"/>
      <c r="CK81" s="48"/>
      <c r="CL81" s="48"/>
      <c r="CM81" s="48"/>
      <c r="CN81" s="48"/>
      <c r="CO81" s="48"/>
      <c r="CP81" s="48"/>
      <c r="CQ81" s="48"/>
      <c r="CR81" s="48"/>
      <c r="CS81" s="48"/>
      <c r="CT81" s="48"/>
      <c r="CU81" s="48"/>
      <c r="CV81" s="48"/>
      <c r="CW81" s="48"/>
      <c r="CX81" s="48"/>
      <c r="CY81" s="48"/>
      <c r="CZ81" s="48"/>
      <c r="DA81" s="48"/>
      <c r="DB81" s="49"/>
    </row>
    <row r="82" spans="5:106" x14ac:dyDescent="0.25">
      <c r="E82" s="60">
        <f>+E81+($C$12/$C$19)</f>
        <v>7.6000000000000054E-2</v>
      </c>
      <c r="F82" s="43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  <c r="BB82" s="48"/>
      <c r="BC82" s="48"/>
      <c r="BD82" s="48"/>
      <c r="BE82" s="48"/>
      <c r="BF82" s="48"/>
      <c r="BG82" s="48"/>
      <c r="BH82" s="48"/>
      <c r="BI82" s="48"/>
      <c r="BJ82" s="48"/>
      <c r="BK82" s="48"/>
      <c r="BL82" s="48"/>
      <c r="BM82" s="48"/>
      <c r="BN82" s="48"/>
      <c r="BO82" s="48"/>
      <c r="BP82" s="48"/>
      <c r="BQ82" s="48"/>
      <c r="BR82" s="48"/>
      <c r="BS82" s="48"/>
      <c r="BT82" s="48"/>
      <c r="BU82" s="48"/>
      <c r="BV82" s="48"/>
      <c r="BW82" s="48"/>
      <c r="BX82" s="48"/>
      <c r="BY82" s="48"/>
      <c r="BZ82" s="48"/>
      <c r="CA82" s="48"/>
      <c r="CB82" s="48"/>
      <c r="CC82" s="48"/>
      <c r="CD82" s="48"/>
      <c r="CE82" s="48"/>
      <c r="CF82" s="48"/>
      <c r="CG82" s="48"/>
      <c r="CH82" s="48"/>
      <c r="CI82" s="48"/>
      <c r="CJ82" s="48"/>
      <c r="CK82" s="48"/>
      <c r="CL82" s="48"/>
      <c r="CM82" s="48"/>
      <c r="CN82" s="48"/>
      <c r="CO82" s="48"/>
      <c r="CP82" s="48"/>
      <c r="CQ82" s="48"/>
      <c r="CR82" s="48"/>
      <c r="CS82" s="48"/>
      <c r="CT82" s="48"/>
      <c r="CU82" s="48"/>
      <c r="CV82" s="48"/>
      <c r="CW82" s="48"/>
      <c r="CX82" s="48"/>
      <c r="CY82" s="48"/>
      <c r="CZ82" s="48"/>
      <c r="DA82" s="48"/>
      <c r="DB82" s="49"/>
    </row>
    <row r="83" spans="5:106" x14ac:dyDescent="0.25">
      <c r="E83" s="60">
        <f>+E82+($C$12/$C$19)</f>
        <v>7.7000000000000055E-2</v>
      </c>
      <c r="F83" s="43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  <c r="BB83" s="48"/>
      <c r="BC83" s="48"/>
      <c r="BD83" s="48"/>
      <c r="BE83" s="48"/>
      <c r="BF83" s="48"/>
      <c r="BG83" s="48"/>
      <c r="BH83" s="48"/>
      <c r="BI83" s="48"/>
      <c r="BJ83" s="48"/>
      <c r="BK83" s="48"/>
      <c r="BL83" s="48"/>
      <c r="BM83" s="48"/>
      <c r="BN83" s="48"/>
      <c r="BO83" s="48"/>
      <c r="BP83" s="48"/>
      <c r="BQ83" s="48"/>
      <c r="BR83" s="48"/>
      <c r="BS83" s="48"/>
      <c r="BT83" s="48"/>
      <c r="BU83" s="48"/>
      <c r="BV83" s="48"/>
      <c r="BW83" s="48"/>
      <c r="BX83" s="48"/>
      <c r="BY83" s="48"/>
      <c r="BZ83" s="48"/>
      <c r="CA83" s="48"/>
      <c r="CB83" s="48"/>
      <c r="CC83" s="48"/>
      <c r="CD83" s="48"/>
      <c r="CE83" s="48"/>
      <c r="CF83" s="48"/>
      <c r="CG83" s="48"/>
      <c r="CH83" s="48"/>
      <c r="CI83" s="48"/>
      <c r="CJ83" s="48"/>
      <c r="CK83" s="48"/>
      <c r="CL83" s="48"/>
      <c r="CM83" s="48"/>
      <c r="CN83" s="48"/>
      <c r="CO83" s="48"/>
      <c r="CP83" s="48"/>
      <c r="CQ83" s="48"/>
      <c r="CR83" s="48"/>
      <c r="CS83" s="48"/>
      <c r="CT83" s="48"/>
      <c r="CU83" s="48"/>
      <c r="CV83" s="48"/>
      <c r="CW83" s="48"/>
      <c r="CX83" s="48"/>
      <c r="CY83" s="48"/>
      <c r="CZ83" s="48"/>
      <c r="DA83" s="48"/>
      <c r="DB83" s="49"/>
    </row>
    <row r="84" spans="5:106" x14ac:dyDescent="0.25">
      <c r="E84" s="60">
        <f>+E83+($C$12/$C$19)</f>
        <v>7.8000000000000055E-2</v>
      </c>
      <c r="F84" s="43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  <c r="BB84" s="48"/>
      <c r="BC84" s="48"/>
      <c r="BD84" s="48"/>
      <c r="BE84" s="48"/>
      <c r="BF84" s="48"/>
      <c r="BG84" s="48"/>
      <c r="BH84" s="48"/>
      <c r="BI84" s="48"/>
      <c r="BJ84" s="48"/>
      <c r="BK84" s="48"/>
      <c r="BL84" s="48"/>
      <c r="BM84" s="48"/>
      <c r="BN84" s="48"/>
      <c r="BO84" s="48"/>
      <c r="BP84" s="48"/>
      <c r="BQ84" s="48"/>
      <c r="BR84" s="48"/>
      <c r="BS84" s="48"/>
      <c r="BT84" s="48"/>
      <c r="BU84" s="48"/>
      <c r="BV84" s="48"/>
      <c r="BW84" s="48"/>
      <c r="BX84" s="48"/>
      <c r="BY84" s="48"/>
      <c r="BZ84" s="48"/>
      <c r="CA84" s="48"/>
      <c r="CB84" s="48"/>
      <c r="CC84" s="48"/>
      <c r="CD84" s="48"/>
      <c r="CE84" s="48"/>
      <c r="CF84" s="48"/>
      <c r="CG84" s="48"/>
      <c r="CH84" s="48"/>
      <c r="CI84" s="48"/>
      <c r="CJ84" s="48"/>
      <c r="CK84" s="48"/>
      <c r="CL84" s="48"/>
      <c r="CM84" s="48"/>
      <c r="CN84" s="48"/>
      <c r="CO84" s="48"/>
      <c r="CP84" s="48"/>
      <c r="CQ84" s="48"/>
      <c r="CR84" s="48"/>
      <c r="CS84" s="48"/>
      <c r="CT84" s="48"/>
      <c r="CU84" s="48"/>
      <c r="CV84" s="48"/>
      <c r="CW84" s="48"/>
      <c r="CX84" s="48"/>
      <c r="CY84" s="48"/>
      <c r="CZ84" s="48"/>
      <c r="DA84" s="48"/>
      <c r="DB84" s="49"/>
    </row>
    <row r="85" spans="5:106" x14ac:dyDescent="0.25">
      <c r="E85" s="60">
        <f>+E84+($C$12/$C$19)</f>
        <v>7.9000000000000056E-2</v>
      </c>
      <c r="F85" s="43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  <c r="BD85" s="48"/>
      <c r="BE85" s="48"/>
      <c r="BF85" s="48"/>
      <c r="BG85" s="48"/>
      <c r="BH85" s="48"/>
      <c r="BI85" s="48"/>
      <c r="BJ85" s="48"/>
      <c r="BK85" s="48"/>
      <c r="BL85" s="48"/>
      <c r="BM85" s="48"/>
      <c r="BN85" s="48"/>
      <c r="BO85" s="48"/>
      <c r="BP85" s="48"/>
      <c r="BQ85" s="48"/>
      <c r="BR85" s="48"/>
      <c r="BS85" s="48"/>
      <c r="BT85" s="48"/>
      <c r="BU85" s="48"/>
      <c r="BV85" s="48"/>
      <c r="BW85" s="48"/>
      <c r="BX85" s="48"/>
      <c r="BY85" s="48"/>
      <c r="BZ85" s="48"/>
      <c r="CA85" s="48"/>
      <c r="CB85" s="48"/>
      <c r="CC85" s="48"/>
      <c r="CD85" s="48"/>
      <c r="CE85" s="48"/>
      <c r="CF85" s="48"/>
      <c r="CG85" s="48"/>
      <c r="CH85" s="48"/>
      <c r="CI85" s="48"/>
      <c r="CJ85" s="48"/>
      <c r="CK85" s="48"/>
      <c r="CL85" s="48"/>
      <c r="CM85" s="48"/>
      <c r="CN85" s="48"/>
      <c r="CO85" s="48"/>
      <c r="CP85" s="48"/>
      <c r="CQ85" s="48"/>
      <c r="CR85" s="48"/>
      <c r="CS85" s="48"/>
      <c r="CT85" s="48"/>
      <c r="CU85" s="48"/>
      <c r="CV85" s="48"/>
      <c r="CW85" s="48"/>
      <c r="CX85" s="48"/>
      <c r="CY85" s="48"/>
      <c r="CZ85" s="48"/>
      <c r="DA85" s="48"/>
      <c r="DB85" s="49"/>
    </row>
    <row r="86" spans="5:106" x14ac:dyDescent="0.25">
      <c r="E86" s="60">
        <f>+E85+($C$12/$C$19)</f>
        <v>8.0000000000000057E-2</v>
      </c>
      <c r="F86" s="43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  <c r="BD86" s="48"/>
      <c r="BE86" s="48"/>
      <c r="BF86" s="48"/>
      <c r="BG86" s="48"/>
      <c r="BH86" s="48"/>
      <c r="BI86" s="48"/>
      <c r="BJ86" s="48"/>
      <c r="BK86" s="48"/>
      <c r="BL86" s="48"/>
      <c r="BM86" s="48"/>
      <c r="BN86" s="48"/>
      <c r="BO86" s="48"/>
      <c r="BP86" s="48"/>
      <c r="BQ86" s="48"/>
      <c r="BR86" s="48"/>
      <c r="BS86" s="48"/>
      <c r="BT86" s="48"/>
      <c r="BU86" s="48"/>
      <c r="BV86" s="48"/>
      <c r="BW86" s="48"/>
      <c r="BX86" s="48"/>
      <c r="BY86" s="48"/>
      <c r="BZ86" s="48"/>
      <c r="CA86" s="48"/>
      <c r="CB86" s="48"/>
      <c r="CC86" s="48"/>
      <c r="CD86" s="48"/>
      <c r="CE86" s="48"/>
      <c r="CF86" s="48"/>
      <c r="CG86" s="48"/>
      <c r="CH86" s="48"/>
      <c r="CI86" s="48"/>
      <c r="CJ86" s="48"/>
      <c r="CK86" s="48"/>
      <c r="CL86" s="48"/>
      <c r="CM86" s="48"/>
      <c r="CN86" s="48"/>
      <c r="CO86" s="48"/>
      <c r="CP86" s="48"/>
      <c r="CQ86" s="48"/>
      <c r="CR86" s="48"/>
      <c r="CS86" s="48"/>
      <c r="CT86" s="48"/>
      <c r="CU86" s="48"/>
      <c r="CV86" s="48"/>
      <c r="CW86" s="48"/>
      <c r="CX86" s="48"/>
      <c r="CY86" s="48"/>
      <c r="CZ86" s="48"/>
      <c r="DA86" s="48"/>
      <c r="DB86" s="49"/>
    </row>
    <row r="87" spans="5:106" x14ac:dyDescent="0.25">
      <c r="E87" s="60">
        <f>+E86+($C$12/$C$19)</f>
        <v>8.1000000000000058E-2</v>
      </c>
      <c r="F87" s="43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8"/>
      <c r="BE87" s="48"/>
      <c r="BF87" s="48"/>
      <c r="BG87" s="48"/>
      <c r="BH87" s="48"/>
      <c r="BI87" s="48"/>
      <c r="BJ87" s="48"/>
      <c r="BK87" s="48"/>
      <c r="BL87" s="48"/>
      <c r="BM87" s="48"/>
      <c r="BN87" s="48"/>
      <c r="BO87" s="48"/>
      <c r="BP87" s="48"/>
      <c r="BQ87" s="48"/>
      <c r="BR87" s="48"/>
      <c r="BS87" s="48"/>
      <c r="BT87" s="48"/>
      <c r="BU87" s="48"/>
      <c r="BV87" s="48"/>
      <c r="BW87" s="48"/>
      <c r="BX87" s="48"/>
      <c r="BY87" s="48"/>
      <c r="BZ87" s="48"/>
      <c r="CA87" s="48"/>
      <c r="CB87" s="48"/>
      <c r="CC87" s="48"/>
      <c r="CD87" s="48"/>
      <c r="CE87" s="48"/>
      <c r="CF87" s="48"/>
      <c r="CG87" s="48"/>
      <c r="CH87" s="48"/>
      <c r="CI87" s="48"/>
      <c r="CJ87" s="48"/>
      <c r="CK87" s="48"/>
      <c r="CL87" s="48"/>
      <c r="CM87" s="48"/>
      <c r="CN87" s="48"/>
      <c r="CO87" s="48"/>
      <c r="CP87" s="48"/>
      <c r="CQ87" s="48"/>
      <c r="CR87" s="48"/>
      <c r="CS87" s="48"/>
      <c r="CT87" s="48"/>
      <c r="CU87" s="48"/>
      <c r="CV87" s="48"/>
      <c r="CW87" s="48"/>
      <c r="CX87" s="48"/>
      <c r="CY87" s="48"/>
      <c r="CZ87" s="48"/>
      <c r="DA87" s="48"/>
      <c r="DB87" s="49"/>
    </row>
    <row r="88" spans="5:106" x14ac:dyDescent="0.25">
      <c r="E88" s="60">
        <f>+E87+($C$12/$C$19)</f>
        <v>8.2000000000000059E-2</v>
      </c>
      <c r="F88" s="43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  <c r="BD88" s="48"/>
      <c r="BE88" s="48"/>
      <c r="BF88" s="48"/>
      <c r="BG88" s="48"/>
      <c r="BH88" s="48"/>
      <c r="BI88" s="48"/>
      <c r="BJ88" s="48"/>
      <c r="BK88" s="48"/>
      <c r="BL88" s="48"/>
      <c r="BM88" s="48"/>
      <c r="BN88" s="48"/>
      <c r="BO88" s="48"/>
      <c r="BP88" s="48"/>
      <c r="BQ88" s="48"/>
      <c r="BR88" s="48"/>
      <c r="BS88" s="48"/>
      <c r="BT88" s="48"/>
      <c r="BU88" s="48"/>
      <c r="BV88" s="48"/>
      <c r="BW88" s="48"/>
      <c r="BX88" s="48"/>
      <c r="BY88" s="48"/>
      <c r="BZ88" s="48"/>
      <c r="CA88" s="48"/>
      <c r="CB88" s="48"/>
      <c r="CC88" s="48"/>
      <c r="CD88" s="48"/>
      <c r="CE88" s="48"/>
      <c r="CF88" s="48"/>
      <c r="CG88" s="48"/>
      <c r="CH88" s="48"/>
      <c r="CI88" s="48"/>
      <c r="CJ88" s="48"/>
      <c r="CK88" s="48"/>
      <c r="CL88" s="48"/>
      <c r="CM88" s="48"/>
      <c r="CN88" s="48"/>
      <c r="CO88" s="48"/>
      <c r="CP88" s="48"/>
      <c r="CQ88" s="48"/>
      <c r="CR88" s="48"/>
      <c r="CS88" s="48"/>
      <c r="CT88" s="48"/>
      <c r="CU88" s="48"/>
      <c r="CV88" s="48"/>
      <c r="CW88" s="48"/>
      <c r="CX88" s="48"/>
      <c r="CY88" s="48"/>
      <c r="CZ88" s="48"/>
      <c r="DA88" s="48"/>
      <c r="DB88" s="49"/>
    </row>
    <row r="89" spans="5:106" x14ac:dyDescent="0.25">
      <c r="E89" s="60">
        <f>+E88+($C$12/$C$19)</f>
        <v>8.300000000000006E-2</v>
      </c>
      <c r="F89" s="43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  <c r="AZ89" s="48"/>
      <c r="BA89" s="48"/>
      <c r="BB89" s="48"/>
      <c r="BC89" s="48"/>
      <c r="BD89" s="48"/>
      <c r="BE89" s="48"/>
      <c r="BF89" s="48"/>
      <c r="BG89" s="48"/>
      <c r="BH89" s="48"/>
      <c r="BI89" s="48"/>
      <c r="BJ89" s="48"/>
      <c r="BK89" s="48"/>
      <c r="BL89" s="48"/>
      <c r="BM89" s="48"/>
      <c r="BN89" s="48"/>
      <c r="BO89" s="48"/>
      <c r="BP89" s="48"/>
      <c r="BQ89" s="48"/>
      <c r="BR89" s="48"/>
      <c r="BS89" s="48"/>
      <c r="BT89" s="48"/>
      <c r="BU89" s="48"/>
      <c r="BV89" s="48"/>
      <c r="BW89" s="48"/>
      <c r="BX89" s="48"/>
      <c r="BY89" s="48"/>
      <c r="BZ89" s="48"/>
      <c r="CA89" s="48"/>
      <c r="CB89" s="48"/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48"/>
      <c r="CO89" s="48"/>
      <c r="CP89" s="48"/>
      <c r="CQ89" s="48"/>
      <c r="CR89" s="48"/>
      <c r="CS89" s="48"/>
      <c r="CT89" s="48"/>
      <c r="CU89" s="48"/>
      <c r="CV89" s="48"/>
      <c r="CW89" s="48"/>
      <c r="CX89" s="48"/>
      <c r="CY89" s="48"/>
      <c r="CZ89" s="48"/>
      <c r="DA89" s="48"/>
      <c r="DB89" s="49"/>
    </row>
    <row r="90" spans="5:106" x14ac:dyDescent="0.25">
      <c r="E90" s="60">
        <f>+E89+($C$12/$C$19)</f>
        <v>8.4000000000000061E-2</v>
      </c>
      <c r="F90" s="43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  <c r="BB90" s="48"/>
      <c r="BC90" s="48"/>
      <c r="BD90" s="48"/>
      <c r="BE90" s="48"/>
      <c r="BF90" s="48"/>
      <c r="BG90" s="48"/>
      <c r="BH90" s="48"/>
      <c r="BI90" s="48"/>
      <c r="BJ90" s="48"/>
      <c r="BK90" s="48"/>
      <c r="BL90" s="48"/>
      <c r="BM90" s="48"/>
      <c r="BN90" s="48"/>
      <c r="BO90" s="48"/>
      <c r="BP90" s="48"/>
      <c r="BQ90" s="48"/>
      <c r="BR90" s="48"/>
      <c r="BS90" s="48"/>
      <c r="BT90" s="48"/>
      <c r="BU90" s="48"/>
      <c r="BV90" s="48"/>
      <c r="BW90" s="48"/>
      <c r="BX90" s="48"/>
      <c r="BY90" s="48"/>
      <c r="BZ90" s="48"/>
      <c r="CA90" s="48"/>
      <c r="CB90" s="48"/>
      <c r="CC90" s="48"/>
      <c r="CD90" s="48"/>
      <c r="CE90" s="48"/>
      <c r="CF90" s="48"/>
      <c r="CG90" s="48"/>
      <c r="CH90" s="48"/>
      <c r="CI90" s="48"/>
      <c r="CJ90" s="48"/>
      <c r="CK90" s="48"/>
      <c r="CL90" s="48"/>
      <c r="CM90" s="48"/>
      <c r="CN90" s="48"/>
      <c r="CO90" s="48"/>
      <c r="CP90" s="48"/>
      <c r="CQ90" s="48"/>
      <c r="CR90" s="48"/>
      <c r="CS90" s="48"/>
      <c r="CT90" s="48"/>
      <c r="CU90" s="48"/>
      <c r="CV90" s="48"/>
      <c r="CW90" s="48"/>
      <c r="CX90" s="48"/>
      <c r="CY90" s="48"/>
      <c r="CZ90" s="48"/>
      <c r="DA90" s="48"/>
      <c r="DB90" s="49"/>
    </row>
    <row r="91" spans="5:106" x14ac:dyDescent="0.25">
      <c r="E91" s="60">
        <f>+E90+($C$12/$C$19)</f>
        <v>8.5000000000000062E-2</v>
      </c>
      <c r="F91" s="43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48"/>
      <c r="BB91" s="48"/>
      <c r="BC91" s="48"/>
      <c r="BD91" s="48"/>
      <c r="BE91" s="48"/>
      <c r="BF91" s="48"/>
      <c r="BG91" s="48"/>
      <c r="BH91" s="48"/>
      <c r="BI91" s="48"/>
      <c r="BJ91" s="48"/>
      <c r="BK91" s="48"/>
      <c r="BL91" s="48"/>
      <c r="BM91" s="48"/>
      <c r="BN91" s="48"/>
      <c r="BO91" s="48"/>
      <c r="BP91" s="48"/>
      <c r="BQ91" s="48"/>
      <c r="BR91" s="48"/>
      <c r="BS91" s="48"/>
      <c r="BT91" s="48"/>
      <c r="BU91" s="48"/>
      <c r="BV91" s="48"/>
      <c r="BW91" s="48"/>
      <c r="BX91" s="48"/>
      <c r="BY91" s="48"/>
      <c r="BZ91" s="48"/>
      <c r="CA91" s="48"/>
      <c r="CB91" s="48"/>
      <c r="CC91" s="48"/>
      <c r="CD91" s="48"/>
      <c r="CE91" s="48"/>
      <c r="CF91" s="48"/>
      <c r="CG91" s="48"/>
      <c r="CH91" s="48"/>
      <c r="CI91" s="48"/>
      <c r="CJ91" s="48"/>
      <c r="CK91" s="48"/>
      <c r="CL91" s="48"/>
      <c r="CM91" s="48"/>
      <c r="CN91" s="48"/>
      <c r="CO91" s="48"/>
      <c r="CP91" s="48"/>
      <c r="CQ91" s="48"/>
      <c r="CR91" s="48"/>
      <c r="CS91" s="48"/>
      <c r="CT91" s="48"/>
      <c r="CU91" s="48"/>
      <c r="CV91" s="48"/>
      <c r="CW91" s="48"/>
      <c r="CX91" s="48"/>
      <c r="CY91" s="48"/>
      <c r="CZ91" s="48"/>
      <c r="DA91" s="48"/>
      <c r="DB91" s="49"/>
    </row>
    <row r="92" spans="5:106" x14ac:dyDescent="0.25">
      <c r="E92" s="60">
        <f>+E91+($C$12/$C$19)</f>
        <v>8.6000000000000063E-2</v>
      </c>
      <c r="F92" s="43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  <c r="BL92" s="48"/>
      <c r="BM92" s="48"/>
      <c r="BN92" s="48"/>
      <c r="BO92" s="48"/>
      <c r="BP92" s="48"/>
      <c r="BQ92" s="48"/>
      <c r="BR92" s="48"/>
      <c r="BS92" s="48"/>
      <c r="BT92" s="48"/>
      <c r="BU92" s="48"/>
      <c r="BV92" s="48"/>
      <c r="BW92" s="48"/>
      <c r="BX92" s="48"/>
      <c r="BY92" s="48"/>
      <c r="BZ92" s="48"/>
      <c r="CA92" s="48"/>
      <c r="CB92" s="48"/>
      <c r="CC92" s="48"/>
      <c r="CD92" s="48"/>
      <c r="CE92" s="48"/>
      <c r="CF92" s="48"/>
      <c r="CG92" s="48"/>
      <c r="CH92" s="48"/>
      <c r="CI92" s="48"/>
      <c r="CJ92" s="48"/>
      <c r="CK92" s="48"/>
      <c r="CL92" s="48"/>
      <c r="CM92" s="48"/>
      <c r="CN92" s="48"/>
      <c r="CO92" s="48"/>
      <c r="CP92" s="48"/>
      <c r="CQ92" s="48"/>
      <c r="CR92" s="48"/>
      <c r="CS92" s="48"/>
      <c r="CT92" s="48"/>
      <c r="CU92" s="48"/>
      <c r="CV92" s="48"/>
      <c r="CW92" s="48"/>
      <c r="CX92" s="48"/>
      <c r="CY92" s="48"/>
      <c r="CZ92" s="48"/>
      <c r="DA92" s="48"/>
      <c r="DB92" s="49"/>
    </row>
    <row r="93" spans="5:106" x14ac:dyDescent="0.25">
      <c r="E93" s="60">
        <f>+E92+($C$12/$C$19)</f>
        <v>8.7000000000000063E-2</v>
      </c>
      <c r="F93" s="43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48"/>
      <c r="BB93" s="48"/>
      <c r="BC93" s="48"/>
      <c r="BD93" s="48"/>
      <c r="BE93" s="48"/>
      <c r="BF93" s="48"/>
      <c r="BG93" s="48"/>
      <c r="BH93" s="48"/>
      <c r="BI93" s="48"/>
      <c r="BJ93" s="48"/>
      <c r="BK93" s="48"/>
      <c r="BL93" s="48"/>
      <c r="BM93" s="48"/>
      <c r="BN93" s="48"/>
      <c r="BO93" s="48"/>
      <c r="BP93" s="48"/>
      <c r="BQ93" s="48"/>
      <c r="BR93" s="48"/>
      <c r="BS93" s="48"/>
      <c r="BT93" s="48"/>
      <c r="BU93" s="48"/>
      <c r="BV93" s="48"/>
      <c r="BW93" s="48"/>
      <c r="BX93" s="48"/>
      <c r="BY93" s="48"/>
      <c r="BZ93" s="48"/>
      <c r="CA93" s="48"/>
      <c r="CB93" s="48"/>
      <c r="CC93" s="48"/>
      <c r="CD93" s="48"/>
      <c r="CE93" s="48"/>
      <c r="CF93" s="48"/>
      <c r="CG93" s="48"/>
      <c r="CH93" s="48"/>
      <c r="CI93" s="48"/>
      <c r="CJ93" s="48"/>
      <c r="CK93" s="48"/>
      <c r="CL93" s="48"/>
      <c r="CM93" s="48"/>
      <c r="CN93" s="48"/>
      <c r="CO93" s="48"/>
      <c r="CP93" s="48"/>
      <c r="CQ93" s="48"/>
      <c r="CR93" s="48"/>
      <c r="CS93" s="48"/>
      <c r="CT93" s="48"/>
      <c r="CU93" s="48"/>
      <c r="CV93" s="48"/>
      <c r="CW93" s="48"/>
      <c r="CX93" s="48"/>
      <c r="CY93" s="48"/>
      <c r="CZ93" s="48"/>
      <c r="DA93" s="48"/>
      <c r="DB93" s="49"/>
    </row>
    <row r="94" spans="5:106" x14ac:dyDescent="0.25">
      <c r="E94" s="60">
        <f>+E93+($C$12/$C$19)</f>
        <v>8.8000000000000064E-2</v>
      </c>
      <c r="F94" s="43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48"/>
      <c r="BB94" s="48"/>
      <c r="BC94" s="48"/>
      <c r="BD94" s="48"/>
      <c r="BE94" s="48"/>
      <c r="BF94" s="48"/>
      <c r="BG94" s="48"/>
      <c r="BH94" s="48"/>
      <c r="BI94" s="48"/>
      <c r="BJ94" s="48"/>
      <c r="BK94" s="48"/>
      <c r="BL94" s="48"/>
      <c r="BM94" s="48"/>
      <c r="BN94" s="48"/>
      <c r="BO94" s="48"/>
      <c r="BP94" s="48"/>
      <c r="BQ94" s="48"/>
      <c r="BR94" s="48"/>
      <c r="BS94" s="48"/>
      <c r="BT94" s="48"/>
      <c r="BU94" s="48"/>
      <c r="BV94" s="48"/>
      <c r="BW94" s="48"/>
      <c r="BX94" s="48"/>
      <c r="BY94" s="48"/>
      <c r="BZ94" s="48"/>
      <c r="CA94" s="48"/>
      <c r="CB94" s="48"/>
      <c r="CC94" s="48"/>
      <c r="CD94" s="48"/>
      <c r="CE94" s="48"/>
      <c r="CF94" s="48"/>
      <c r="CG94" s="48"/>
      <c r="CH94" s="48"/>
      <c r="CI94" s="48"/>
      <c r="CJ94" s="48"/>
      <c r="CK94" s="48"/>
      <c r="CL94" s="48"/>
      <c r="CM94" s="48"/>
      <c r="CN94" s="48"/>
      <c r="CO94" s="48"/>
      <c r="CP94" s="48"/>
      <c r="CQ94" s="48"/>
      <c r="CR94" s="48"/>
      <c r="CS94" s="48"/>
      <c r="CT94" s="48"/>
      <c r="CU94" s="48"/>
      <c r="CV94" s="48"/>
      <c r="CW94" s="48"/>
      <c r="CX94" s="48"/>
      <c r="CY94" s="48"/>
      <c r="CZ94" s="48"/>
      <c r="DA94" s="48"/>
      <c r="DB94" s="49"/>
    </row>
    <row r="95" spans="5:106" x14ac:dyDescent="0.25">
      <c r="E95" s="60">
        <f>+E94+($C$12/$C$19)</f>
        <v>8.9000000000000065E-2</v>
      </c>
      <c r="F95" s="43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48"/>
      <c r="BB95" s="48"/>
      <c r="BC95" s="48"/>
      <c r="BD95" s="48"/>
      <c r="BE95" s="48"/>
      <c r="BF95" s="48"/>
      <c r="BG95" s="48"/>
      <c r="BH95" s="48"/>
      <c r="BI95" s="48"/>
      <c r="BJ95" s="48"/>
      <c r="BK95" s="48"/>
      <c r="BL95" s="48"/>
      <c r="BM95" s="48"/>
      <c r="BN95" s="48"/>
      <c r="BO95" s="48"/>
      <c r="BP95" s="48"/>
      <c r="BQ95" s="48"/>
      <c r="BR95" s="48"/>
      <c r="BS95" s="48"/>
      <c r="BT95" s="48"/>
      <c r="BU95" s="48"/>
      <c r="BV95" s="48"/>
      <c r="BW95" s="48"/>
      <c r="BX95" s="48"/>
      <c r="BY95" s="48"/>
      <c r="BZ95" s="48"/>
      <c r="CA95" s="48"/>
      <c r="CB95" s="48"/>
      <c r="CC95" s="48"/>
      <c r="CD95" s="48"/>
      <c r="CE95" s="48"/>
      <c r="CF95" s="48"/>
      <c r="CG95" s="48"/>
      <c r="CH95" s="48"/>
      <c r="CI95" s="48"/>
      <c r="CJ95" s="48"/>
      <c r="CK95" s="48"/>
      <c r="CL95" s="48"/>
      <c r="CM95" s="48"/>
      <c r="CN95" s="48"/>
      <c r="CO95" s="48"/>
      <c r="CP95" s="48"/>
      <c r="CQ95" s="48"/>
      <c r="CR95" s="48"/>
      <c r="CS95" s="48"/>
      <c r="CT95" s="48"/>
      <c r="CU95" s="48"/>
      <c r="CV95" s="48"/>
      <c r="CW95" s="48"/>
      <c r="CX95" s="48"/>
      <c r="CY95" s="48"/>
      <c r="CZ95" s="48"/>
      <c r="DA95" s="48"/>
      <c r="DB95" s="49"/>
    </row>
    <row r="96" spans="5:106" x14ac:dyDescent="0.25">
      <c r="E96" s="60">
        <f>+E95+($C$12/$C$19)</f>
        <v>9.0000000000000066E-2</v>
      </c>
      <c r="F96" s="43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  <c r="BB96" s="48"/>
      <c r="BC96" s="48"/>
      <c r="BD96" s="48"/>
      <c r="BE96" s="48"/>
      <c r="BF96" s="48"/>
      <c r="BG96" s="48"/>
      <c r="BH96" s="48"/>
      <c r="BI96" s="48"/>
      <c r="BJ96" s="48"/>
      <c r="BK96" s="48"/>
      <c r="BL96" s="48"/>
      <c r="BM96" s="48"/>
      <c r="BN96" s="48"/>
      <c r="BO96" s="48"/>
      <c r="BP96" s="48"/>
      <c r="BQ96" s="48"/>
      <c r="BR96" s="48"/>
      <c r="BS96" s="48"/>
      <c r="BT96" s="48"/>
      <c r="BU96" s="48"/>
      <c r="BV96" s="48"/>
      <c r="BW96" s="48"/>
      <c r="BX96" s="48"/>
      <c r="BY96" s="48"/>
      <c r="BZ96" s="48"/>
      <c r="CA96" s="48"/>
      <c r="CB96" s="48"/>
      <c r="CC96" s="48"/>
      <c r="CD96" s="48"/>
      <c r="CE96" s="48"/>
      <c r="CF96" s="48"/>
      <c r="CG96" s="48"/>
      <c r="CH96" s="48"/>
      <c r="CI96" s="48"/>
      <c r="CJ96" s="48"/>
      <c r="CK96" s="48"/>
      <c r="CL96" s="48"/>
      <c r="CM96" s="48"/>
      <c r="CN96" s="48"/>
      <c r="CO96" s="48"/>
      <c r="CP96" s="48"/>
      <c r="CQ96" s="48"/>
      <c r="CR96" s="48"/>
      <c r="CS96" s="48"/>
      <c r="CT96" s="48"/>
      <c r="CU96" s="48"/>
      <c r="CV96" s="48"/>
      <c r="CW96" s="48"/>
      <c r="CX96" s="48"/>
      <c r="CY96" s="48"/>
      <c r="CZ96" s="48"/>
      <c r="DA96" s="48"/>
      <c r="DB96" s="49"/>
    </row>
    <row r="97" spans="5:106" x14ac:dyDescent="0.25">
      <c r="E97" s="60">
        <f>+E96+($C$12/$C$19)</f>
        <v>9.1000000000000067E-2</v>
      </c>
      <c r="F97" s="43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  <c r="BB97" s="48"/>
      <c r="BC97" s="48"/>
      <c r="BD97" s="48"/>
      <c r="BE97" s="48"/>
      <c r="BF97" s="48"/>
      <c r="BG97" s="48"/>
      <c r="BH97" s="48"/>
      <c r="BI97" s="48"/>
      <c r="BJ97" s="48"/>
      <c r="BK97" s="48"/>
      <c r="BL97" s="48"/>
      <c r="BM97" s="48"/>
      <c r="BN97" s="48"/>
      <c r="BO97" s="48"/>
      <c r="BP97" s="48"/>
      <c r="BQ97" s="48"/>
      <c r="BR97" s="48"/>
      <c r="BS97" s="48"/>
      <c r="BT97" s="48"/>
      <c r="BU97" s="48"/>
      <c r="BV97" s="48"/>
      <c r="BW97" s="48"/>
      <c r="BX97" s="48"/>
      <c r="BY97" s="48"/>
      <c r="BZ97" s="48"/>
      <c r="CA97" s="48"/>
      <c r="CB97" s="48"/>
      <c r="CC97" s="48"/>
      <c r="CD97" s="48"/>
      <c r="CE97" s="48"/>
      <c r="CF97" s="48"/>
      <c r="CG97" s="48"/>
      <c r="CH97" s="48"/>
      <c r="CI97" s="48"/>
      <c r="CJ97" s="48"/>
      <c r="CK97" s="48"/>
      <c r="CL97" s="48"/>
      <c r="CM97" s="48"/>
      <c r="CN97" s="48"/>
      <c r="CO97" s="48"/>
      <c r="CP97" s="48"/>
      <c r="CQ97" s="48"/>
      <c r="CR97" s="48"/>
      <c r="CS97" s="48"/>
      <c r="CT97" s="48"/>
      <c r="CU97" s="48"/>
      <c r="CV97" s="48"/>
      <c r="CW97" s="48"/>
      <c r="CX97" s="48"/>
      <c r="CY97" s="48"/>
      <c r="CZ97" s="48"/>
      <c r="DA97" s="48"/>
      <c r="DB97" s="49"/>
    </row>
    <row r="98" spans="5:106" x14ac:dyDescent="0.25">
      <c r="E98" s="60">
        <f>+E97+($C$12/$C$19)</f>
        <v>9.2000000000000068E-2</v>
      </c>
      <c r="F98" s="43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  <c r="BB98" s="48"/>
      <c r="BC98" s="48"/>
      <c r="BD98" s="48"/>
      <c r="BE98" s="48"/>
      <c r="BF98" s="48"/>
      <c r="BG98" s="48"/>
      <c r="BH98" s="48"/>
      <c r="BI98" s="48"/>
      <c r="BJ98" s="48"/>
      <c r="BK98" s="48"/>
      <c r="BL98" s="48"/>
      <c r="BM98" s="48"/>
      <c r="BN98" s="48"/>
      <c r="BO98" s="48"/>
      <c r="BP98" s="48"/>
      <c r="BQ98" s="48"/>
      <c r="BR98" s="48"/>
      <c r="BS98" s="48"/>
      <c r="BT98" s="48"/>
      <c r="BU98" s="48"/>
      <c r="BV98" s="48"/>
      <c r="BW98" s="48"/>
      <c r="BX98" s="48"/>
      <c r="BY98" s="48"/>
      <c r="BZ98" s="48"/>
      <c r="CA98" s="48"/>
      <c r="CB98" s="48"/>
      <c r="CC98" s="48"/>
      <c r="CD98" s="48"/>
      <c r="CE98" s="48"/>
      <c r="CF98" s="48"/>
      <c r="CG98" s="48"/>
      <c r="CH98" s="48"/>
      <c r="CI98" s="48"/>
      <c r="CJ98" s="48"/>
      <c r="CK98" s="48"/>
      <c r="CL98" s="48"/>
      <c r="CM98" s="48"/>
      <c r="CN98" s="48"/>
      <c r="CO98" s="48"/>
      <c r="CP98" s="48"/>
      <c r="CQ98" s="48"/>
      <c r="CR98" s="48"/>
      <c r="CS98" s="48"/>
      <c r="CT98" s="48"/>
      <c r="CU98" s="48"/>
      <c r="CV98" s="48"/>
      <c r="CW98" s="48"/>
      <c r="CX98" s="48"/>
      <c r="CY98" s="48"/>
      <c r="CZ98" s="48"/>
      <c r="DA98" s="48"/>
      <c r="DB98" s="49"/>
    </row>
    <row r="99" spans="5:106" x14ac:dyDescent="0.25">
      <c r="E99" s="60">
        <f>+E98+($C$12/$C$19)</f>
        <v>9.3000000000000069E-2</v>
      </c>
      <c r="F99" s="43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48"/>
      <c r="BB99" s="48"/>
      <c r="BC99" s="48"/>
      <c r="BD99" s="48"/>
      <c r="BE99" s="48"/>
      <c r="BF99" s="48"/>
      <c r="BG99" s="48"/>
      <c r="BH99" s="48"/>
      <c r="BI99" s="48"/>
      <c r="BJ99" s="48"/>
      <c r="BK99" s="48"/>
      <c r="BL99" s="48"/>
      <c r="BM99" s="48"/>
      <c r="BN99" s="48"/>
      <c r="BO99" s="48"/>
      <c r="BP99" s="48"/>
      <c r="BQ99" s="48"/>
      <c r="BR99" s="48"/>
      <c r="BS99" s="48"/>
      <c r="BT99" s="48"/>
      <c r="BU99" s="48"/>
      <c r="BV99" s="48"/>
      <c r="BW99" s="48"/>
      <c r="BX99" s="48"/>
      <c r="BY99" s="48"/>
      <c r="BZ99" s="48"/>
      <c r="CA99" s="48"/>
      <c r="CB99" s="48"/>
      <c r="CC99" s="48"/>
      <c r="CD99" s="48"/>
      <c r="CE99" s="48"/>
      <c r="CF99" s="48"/>
      <c r="CG99" s="48"/>
      <c r="CH99" s="48"/>
      <c r="CI99" s="48"/>
      <c r="CJ99" s="48"/>
      <c r="CK99" s="48"/>
      <c r="CL99" s="48"/>
      <c r="CM99" s="48"/>
      <c r="CN99" s="48"/>
      <c r="CO99" s="48"/>
      <c r="CP99" s="48"/>
      <c r="CQ99" s="48"/>
      <c r="CR99" s="48"/>
      <c r="CS99" s="48"/>
      <c r="CT99" s="48"/>
      <c r="CU99" s="48"/>
      <c r="CV99" s="48"/>
      <c r="CW99" s="48"/>
      <c r="CX99" s="48"/>
      <c r="CY99" s="48"/>
      <c r="CZ99" s="48"/>
      <c r="DA99" s="48"/>
      <c r="DB99" s="49"/>
    </row>
    <row r="100" spans="5:106" x14ac:dyDescent="0.25">
      <c r="E100" s="60">
        <f>+E99+($C$12/$C$19)</f>
        <v>9.400000000000007E-2</v>
      </c>
      <c r="F100" s="43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  <c r="AZ100" s="48"/>
      <c r="BA100" s="48"/>
      <c r="BB100" s="48"/>
      <c r="BC100" s="48"/>
      <c r="BD100" s="48"/>
      <c r="BE100" s="48"/>
      <c r="BF100" s="48"/>
      <c r="BG100" s="48"/>
      <c r="BH100" s="48"/>
      <c r="BI100" s="48"/>
      <c r="BJ100" s="48"/>
      <c r="BK100" s="48"/>
      <c r="BL100" s="48"/>
      <c r="BM100" s="48"/>
      <c r="BN100" s="48"/>
      <c r="BO100" s="48"/>
      <c r="BP100" s="48"/>
      <c r="BQ100" s="48"/>
      <c r="BR100" s="48"/>
      <c r="BS100" s="48"/>
      <c r="BT100" s="48"/>
      <c r="BU100" s="48"/>
      <c r="BV100" s="48"/>
      <c r="BW100" s="48"/>
      <c r="BX100" s="48"/>
      <c r="BY100" s="48"/>
      <c r="BZ100" s="48"/>
      <c r="CA100" s="48"/>
      <c r="CB100" s="48"/>
      <c r="CC100" s="48"/>
      <c r="CD100" s="48"/>
      <c r="CE100" s="48"/>
      <c r="CF100" s="48"/>
      <c r="CG100" s="48"/>
      <c r="CH100" s="48"/>
      <c r="CI100" s="48"/>
      <c r="CJ100" s="48"/>
      <c r="CK100" s="48"/>
      <c r="CL100" s="48"/>
      <c r="CM100" s="48"/>
      <c r="CN100" s="48"/>
      <c r="CO100" s="48"/>
      <c r="CP100" s="48"/>
      <c r="CQ100" s="48"/>
      <c r="CR100" s="48"/>
      <c r="CS100" s="48"/>
      <c r="CT100" s="48"/>
      <c r="CU100" s="48"/>
      <c r="CV100" s="48"/>
      <c r="CW100" s="48"/>
      <c r="CX100" s="48"/>
      <c r="CY100" s="48"/>
      <c r="CZ100" s="48"/>
      <c r="DA100" s="48"/>
      <c r="DB100" s="49"/>
    </row>
    <row r="101" spans="5:106" x14ac:dyDescent="0.25">
      <c r="E101" s="60">
        <f>+E100+($C$12/$C$19)</f>
        <v>9.500000000000007E-2</v>
      </c>
      <c r="F101" s="43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48"/>
      <c r="BB101" s="48"/>
      <c r="BC101" s="48"/>
      <c r="BD101" s="48"/>
      <c r="BE101" s="48"/>
      <c r="BF101" s="48"/>
      <c r="BG101" s="48"/>
      <c r="BH101" s="48"/>
      <c r="BI101" s="48"/>
      <c r="BJ101" s="48"/>
      <c r="BK101" s="48"/>
      <c r="BL101" s="48"/>
      <c r="BM101" s="48"/>
      <c r="BN101" s="48"/>
      <c r="BO101" s="48"/>
      <c r="BP101" s="48"/>
      <c r="BQ101" s="48"/>
      <c r="BR101" s="48"/>
      <c r="BS101" s="48"/>
      <c r="BT101" s="48"/>
      <c r="BU101" s="48"/>
      <c r="BV101" s="48"/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  <c r="CM101" s="48"/>
      <c r="CN101" s="48"/>
      <c r="CO101" s="48"/>
      <c r="CP101" s="48"/>
      <c r="CQ101" s="48"/>
      <c r="CR101" s="48"/>
      <c r="CS101" s="48"/>
      <c r="CT101" s="48"/>
      <c r="CU101" s="48"/>
      <c r="CV101" s="48"/>
      <c r="CW101" s="48"/>
      <c r="CX101" s="48"/>
      <c r="CY101" s="48"/>
      <c r="CZ101" s="48"/>
      <c r="DA101" s="48"/>
      <c r="DB101" s="49"/>
    </row>
    <row r="102" spans="5:106" x14ac:dyDescent="0.25">
      <c r="E102" s="60">
        <f>+E101+($C$12/$C$19)</f>
        <v>9.6000000000000071E-2</v>
      </c>
      <c r="F102" s="43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48"/>
      <c r="BB102" s="48"/>
      <c r="BC102" s="48"/>
      <c r="BD102" s="48"/>
      <c r="BE102" s="48"/>
      <c r="BF102" s="48"/>
      <c r="BG102" s="48"/>
      <c r="BH102" s="48"/>
      <c r="BI102" s="48"/>
      <c r="BJ102" s="48"/>
      <c r="BK102" s="48"/>
      <c r="BL102" s="48"/>
      <c r="BM102" s="48"/>
      <c r="BN102" s="48"/>
      <c r="BO102" s="48"/>
      <c r="BP102" s="48"/>
      <c r="BQ102" s="48"/>
      <c r="BR102" s="48"/>
      <c r="BS102" s="48"/>
      <c r="BT102" s="48"/>
      <c r="BU102" s="48"/>
      <c r="BV102" s="48"/>
      <c r="BW102" s="48"/>
      <c r="BX102" s="48"/>
      <c r="BY102" s="48"/>
      <c r="BZ102" s="48"/>
      <c r="CA102" s="48"/>
      <c r="CB102" s="48"/>
      <c r="CC102" s="48"/>
      <c r="CD102" s="48"/>
      <c r="CE102" s="48"/>
      <c r="CF102" s="48"/>
      <c r="CG102" s="48"/>
      <c r="CH102" s="48"/>
      <c r="CI102" s="48"/>
      <c r="CJ102" s="48"/>
      <c r="CK102" s="48"/>
      <c r="CL102" s="48"/>
      <c r="CM102" s="48"/>
      <c r="CN102" s="48"/>
      <c r="CO102" s="48"/>
      <c r="CP102" s="48"/>
      <c r="CQ102" s="48"/>
      <c r="CR102" s="48"/>
      <c r="CS102" s="48"/>
      <c r="CT102" s="48"/>
      <c r="CU102" s="48"/>
      <c r="CV102" s="48"/>
      <c r="CW102" s="48"/>
      <c r="CX102" s="48"/>
      <c r="CY102" s="48"/>
      <c r="CZ102" s="48"/>
      <c r="DA102" s="48"/>
      <c r="DB102" s="49"/>
    </row>
    <row r="103" spans="5:106" x14ac:dyDescent="0.25">
      <c r="E103" s="60">
        <f>+E102+($C$12/$C$19)</f>
        <v>9.7000000000000072E-2</v>
      </c>
      <c r="F103" s="43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  <c r="BB103" s="48"/>
      <c r="BC103" s="48"/>
      <c r="BD103" s="48"/>
      <c r="BE103" s="48"/>
      <c r="BF103" s="48"/>
      <c r="BG103" s="48"/>
      <c r="BH103" s="48"/>
      <c r="BI103" s="48"/>
      <c r="BJ103" s="48"/>
      <c r="BK103" s="48"/>
      <c r="BL103" s="48"/>
      <c r="BM103" s="48"/>
      <c r="BN103" s="48"/>
      <c r="BO103" s="48"/>
      <c r="BP103" s="48"/>
      <c r="BQ103" s="48"/>
      <c r="BR103" s="48"/>
      <c r="BS103" s="48"/>
      <c r="BT103" s="48"/>
      <c r="BU103" s="48"/>
      <c r="BV103" s="48"/>
      <c r="BW103" s="48"/>
      <c r="BX103" s="48"/>
      <c r="BY103" s="48"/>
      <c r="BZ103" s="48"/>
      <c r="CA103" s="48"/>
      <c r="CB103" s="48"/>
      <c r="CC103" s="48"/>
      <c r="CD103" s="48"/>
      <c r="CE103" s="48"/>
      <c r="CF103" s="48"/>
      <c r="CG103" s="48"/>
      <c r="CH103" s="48"/>
      <c r="CI103" s="48"/>
      <c r="CJ103" s="48"/>
      <c r="CK103" s="48"/>
      <c r="CL103" s="48"/>
      <c r="CM103" s="48"/>
      <c r="CN103" s="48"/>
      <c r="CO103" s="48"/>
      <c r="CP103" s="48"/>
      <c r="CQ103" s="48"/>
      <c r="CR103" s="48"/>
      <c r="CS103" s="48"/>
      <c r="CT103" s="48"/>
      <c r="CU103" s="48"/>
      <c r="CV103" s="48"/>
      <c r="CW103" s="48"/>
      <c r="CX103" s="48"/>
      <c r="CY103" s="48"/>
      <c r="CZ103" s="48"/>
      <c r="DA103" s="48"/>
      <c r="DB103" s="49"/>
    </row>
    <row r="104" spans="5:106" x14ac:dyDescent="0.25">
      <c r="E104" s="60">
        <f>+E103+($C$12/$C$19)</f>
        <v>9.8000000000000073E-2</v>
      </c>
      <c r="F104" s="43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  <c r="BB104" s="48"/>
      <c r="BC104" s="48"/>
      <c r="BD104" s="48"/>
      <c r="BE104" s="48"/>
      <c r="BF104" s="48"/>
      <c r="BG104" s="48"/>
      <c r="BH104" s="48"/>
      <c r="BI104" s="48"/>
      <c r="BJ104" s="48"/>
      <c r="BK104" s="48"/>
      <c r="BL104" s="48"/>
      <c r="BM104" s="48"/>
      <c r="BN104" s="48"/>
      <c r="BO104" s="48"/>
      <c r="BP104" s="48"/>
      <c r="BQ104" s="48"/>
      <c r="BR104" s="48"/>
      <c r="BS104" s="48"/>
      <c r="BT104" s="48"/>
      <c r="BU104" s="48"/>
      <c r="BV104" s="48"/>
      <c r="BW104" s="48"/>
      <c r="BX104" s="48"/>
      <c r="BY104" s="48"/>
      <c r="BZ104" s="48"/>
      <c r="CA104" s="48"/>
      <c r="CB104" s="48"/>
      <c r="CC104" s="48"/>
      <c r="CD104" s="48"/>
      <c r="CE104" s="48"/>
      <c r="CF104" s="48"/>
      <c r="CG104" s="48"/>
      <c r="CH104" s="48"/>
      <c r="CI104" s="48"/>
      <c r="CJ104" s="48"/>
      <c r="CK104" s="48"/>
      <c r="CL104" s="48"/>
      <c r="CM104" s="48"/>
      <c r="CN104" s="48"/>
      <c r="CO104" s="48"/>
      <c r="CP104" s="48"/>
      <c r="CQ104" s="48"/>
      <c r="CR104" s="48"/>
      <c r="CS104" s="48"/>
      <c r="CT104" s="48"/>
      <c r="CU104" s="48"/>
      <c r="CV104" s="48"/>
      <c r="CW104" s="48"/>
      <c r="CX104" s="48"/>
      <c r="CY104" s="48"/>
      <c r="CZ104" s="48"/>
      <c r="DA104" s="48"/>
      <c r="DB104" s="49"/>
    </row>
    <row r="105" spans="5:106" x14ac:dyDescent="0.25">
      <c r="E105" s="60">
        <f>+E104+($C$12/$C$19)</f>
        <v>9.9000000000000074E-2</v>
      </c>
      <c r="F105" s="43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  <c r="BB105" s="48"/>
      <c r="BC105" s="48"/>
      <c r="BD105" s="48"/>
      <c r="BE105" s="48"/>
      <c r="BF105" s="48"/>
      <c r="BG105" s="48"/>
      <c r="BH105" s="48"/>
      <c r="BI105" s="48"/>
      <c r="BJ105" s="48"/>
      <c r="BK105" s="48"/>
      <c r="BL105" s="48"/>
      <c r="BM105" s="48"/>
      <c r="BN105" s="48"/>
      <c r="BO105" s="48"/>
      <c r="BP105" s="48"/>
      <c r="BQ105" s="48"/>
      <c r="BR105" s="48"/>
      <c r="BS105" s="48"/>
      <c r="BT105" s="48"/>
      <c r="BU105" s="48"/>
      <c r="BV105" s="48"/>
      <c r="BW105" s="48"/>
      <c r="BX105" s="48"/>
      <c r="BY105" s="48"/>
      <c r="BZ105" s="48"/>
      <c r="CA105" s="48"/>
      <c r="CB105" s="48"/>
      <c r="CC105" s="48"/>
      <c r="CD105" s="48"/>
      <c r="CE105" s="48"/>
      <c r="CF105" s="48"/>
      <c r="CG105" s="48"/>
      <c r="CH105" s="48"/>
      <c r="CI105" s="48"/>
      <c r="CJ105" s="48"/>
      <c r="CK105" s="48"/>
      <c r="CL105" s="48"/>
      <c r="CM105" s="48"/>
      <c r="CN105" s="48"/>
      <c r="CO105" s="48"/>
      <c r="CP105" s="48"/>
      <c r="CQ105" s="48"/>
      <c r="CR105" s="48"/>
      <c r="CS105" s="48"/>
      <c r="CT105" s="48"/>
      <c r="CU105" s="48"/>
      <c r="CV105" s="48"/>
      <c r="CW105" s="48"/>
      <c r="CX105" s="48"/>
      <c r="CY105" s="48"/>
      <c r="CZ105" s="48"/>
      <c r="DA105" s="48"/>
      <c r="DB105" s="49"/>
    </row>
    <row r="106" spans="5:106" x14ac:dyDescent="0.25">
      <c r="E106" s="61">
        <f>+E105+($C$12/$C$19)</f>
        <v>0.10000000000000007</v>
      </c>
      <c r="F106" s="44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  <c r="CJ106" s="50"/>
      <c r="CK106" s="50"/>
      <c r="CL106" s="50"/>
      <c r="CM106" s="50"/>
      <c r="CN106" s="50"/>
      <c r="CO106" s="50"/>
      <c r="CP106" s="50"/>
      <c r="CQ106" s="50"/>
      <c r="CR106" s="50"/>
      <c r="CS106" s="50"/>
      <c r="CT106" s="50"/>
      <c r="CU106" s="50"/>
      <c r="CV106" s="50"/>
      <c r="CW106" s="50"/>
      <c r="CX106" s="50"/>
      <c r="CY106" s="50"/>
      <c r="CZ106" s="50"/>
      <c r="DA106" s="50"/>
      <c r="DB106" s="8"/>
    </row>
  </sheetData>
  <mergeCells count="1">
    <mergeCell ref="B1:D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Sheet1</vt:lpstr>
      <vt:lpstr>BS</vt:lpstr>
      <vt:lpstr>Flag</vt:lpstr>
      <vt:lpstr>InterestRate</vt:lpstr>
      <vt:lpstr>LowSpot</vt:lpstr>
      <vt:lpstr>Notional</vt:lpstr>
      <vt:lpstr>Spot</vt:lpstr>
      <vt:lpstr>Strike</vt:lpstr>
      <vt:lpstr>tSteps</vt:lpstr>
      <vt:lpstr>UpSpot</vt:lpstr>
      <vt:lpstr>Volatility</vt:lpstr>
      <vt:lpstr>xSteps</vt:lpstr>
      <vt:lpstr>YearsToExpiry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Berke Erdiş</dc:creator>
  <cp:lastModifiedBy>Mustafa Berke Erdiş</cp:lastModifiedBy>
  <dcterms:created xsi:type="dcterms:W3CDTF">2019-06-24T16:13:15Z</dcterms:created>
  <dcterms:modified xsi:type="dcterms:W3CDTF">2019-07-03T18:54:45Z</dcterms:modified>
</cp:coreProperties>
</file>